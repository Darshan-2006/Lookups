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a8cb6997d66b3deb/Desktop/NEW_EXCEL/"/>
    </mc:Choice>
  </mc:AlternateContent>
  <xr:revisionPtr revIDLastSave="2" documentId="13_ncr:1_{747A422B-3A17-4FF5-A8FB-376F0A1C7622}" xr6:coauthVersionLast="47" xr6:coauthVersionMax="47" xr10:uidLastSave="{F1F023DA-1536-4616-A8F3-353B4A6C7E9A}"/>
  <bookViews>
    <workbookView xWindow="-110" yWindow="-110" windowWidth="19420" windowHeight="10300" firstSheet="4" activeTab="9" xr2:uid="{00000000-000D-0000-FFFF-FFFF00000000}"/>
  </bookViews>
  <sheets>
    <sheet name="Vlookup" sheetId="1" r:id="rId1"/>
    <sheet name="Sheet1" sheetId="13" r:id="rId2"/>
    <sheet name="Sheet2" sheetId="14" r:id="rId3"/>
    <sheet name="Sheet3" sheetId="15" r:id="rId4"/>
    <sheet name="Hlookup" sheetId="4" r:id="rId5"/>
    <sheet name="Sheet4" sheetId="16" r:id="rId6"/>
    <sheet name="Xlookup" sheetId="5" r:id="rId7"/>
    <sheet name="Xlookup 2" sheetId="12" r:id="rId8"/>
    <sheet name="Xlookup 3" sheetId="6" r:id="rId9"/>
    <sheet name="Xlookup 4" sheetId="11" r:id="rId10"/>
    <sheet name="Xlookup 5" sheetId="9" r:id="rId11"/>
    <sheet name="SumFilter" sheetId="1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4" i="11" l="1"/>
  <c r="H15" i="11"/>
  <c r="H13" i="11"/>
  <c r="H12" i="11"/>
  <c r="H8" i="11"/>
  <c r="H11" i="11"/>
  <c r="H9" i="11"/>
  <c r="H10" i="11"/>
  <c r="H3" i="5"/>
  <c r="B12" i="16"/>
  <c r="B13" i="16"/>
  <c r="B14" i="16"/>
  <c r="B15" i="16"/>
  <c r="B16" i="16"/>
  <c r="C16" i="16" s="1"/>
  <c r="C13" i="16"/>
  <c r="C14" i="16"/>
  <c r="C15" i="16"/>
  <c r="C12" i="16"/>
  <c r="D3" i="16"/>
  <c r="D4" i="16"/>
  <c r="D5" i="16"/>
  <c r="D6" i="16"/>
  <c r="C4" i="16"/>
  <c r="C5" i="16"/>
  <c r="C6" i="16"/>
  <c r="C3" i="16"/>
  <c r="B4" i="16"/>
  <c r="B5" i="16"/>
  <c r="B6" i="16"/>
  <c r="B3" i="16"/>
  <c r="C10" i="4"/>
  <c r="C11" i="4"/>
  <c r="C9" i="4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" i="13"/>
  <c r="B1" i="15"/>
  <c r="F3" i="10"/>
  <c r="E3" i="10"/>
  <c r="F3" i="9"/>
  <c r="E3" i="9"/>
  <c r="E13" i="11"/>
  <c r="E12" i="11"/>
  <c r="E11" i="11"/>
  <c r="E10" i="11"/>
  <c r="E9" i="11"/>
  <c r="E8" i="11"/>
  <c r="E7" i="11"/>
  <c r="E6" i="11"/>
  <c r="E5" i="11"/>
  <c r="E4" i="11"/>
  <c r="E3" i="1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E2" i="11"/>
  <c r="E23" i="6"/>
  <c r="B23" i="6"/>
  <c r="E22" i="6"/>
  <c r="B22" i="6"/>
  <c r="E21" i="6"/>
  <c r="B21" i="6"/>
  <c r="E20" i="6"/>
  <c r="B20" i="6"/>
  <c r="E19" i="6"/>
  <c r="B19" i="6"/>
  <c r="E18" i="6"/>
  <c r="B18" i="6"/>
  <c r="E17" i="6"/>
  <c r="B17" i="6"/>
  <c r="E16" i="6"/>
  <c r="B16" i="6"/>
  <c r="E15" i="6"/>
  <c r="B15" i="6"/>
  <c r="E14" i="6"/>
  <c r="B14" i="6"/>
  <c r="E13" i="6"/>
  <c r="B13" i="6"/>
  <c r="E12" i="6"/>
  <c r="B12" i="6"/>
  <c r="E11" i="6"/>
  <c r="B11" i="6"/>
  <c r="E10" i="6"/>
  <c r="B10" i="6"/>
  <c r="E9" i="6"/>
  <c r="B9" i="6"/>
  <c r="E8" i="6"/>
  <c r="B8" i="6"/>
  <c r="E7" i="6"/>
  <c r="B7" i="6"/>
  <c r="E6" i="6"/>
  <c r="B6" i="6"/>
  <c r="E5" i="6"/>
  <c r="B5" i="6"/>
  <c r="E4" i="6"/>
  <c r="B4" i="6"/>
  <c r="E3" i="6"/>
  <c r="B3" i="6"/>
  <c r="H2" i="6" a="1"/>
  <c r="H2" i="6"/>
  <c r="E2" i="6"/>
  <c r="E24" i="12"/>
  <c r="B24" i="12"/>
  <c r="E23" i="12"/>
  <c r="B23" i="12"/>
  <c r="E22" i="12"/>
  <c r="B22" i="12"/>
  <c r="E21" i="12"/>
  <c r="B21" i="12"/>
  <c r="E20" i="12"/>
  <c r="B20" i="12"/>
  <c r="E19" i="12"/>
  <c r="B19" i="12"/>
  <c r="E18" i="12"/>
  <c r="B18" i="12"/>
  <c r="E17" i="12"/>
  <c r="B17" i="12"/>
  <c r="E16" i="12"/>
  <c r="B16" i="12"/>
  <c r="E15" i="12"/>
  <c r="B15" i="12"/>
  <c r="E14" i="12"/>
  <c r="B14" i="12"/>
  <c r="E13" i="12"/>
  <c r="B13" i="12"/>
  <c r="E12" i="12"/>
  <c r="B12" i="12"/>
  <c r="E11" i="12"/>
  <c r="B11" i="12"/>
  <c r="E10" i="12"/>
  <c r="B10" i="12"/>
  <c r="E9" i="12"/>
  <c r="B9" i="12"/>
  <c r="I8" i="12"/>
  <c r="E8" i="12"/>
  <c r="B8" i="12"/>
  <c r="E7" i="12"/>
  <c r="B7" i="12"/>
  <c r="E6" i="12"/>
  <c r="B6" i="12"/>
  <c r="E5" i="12"/>
  <c r="B5" i="12"/>
  <c r="E4" i="12"/>
  <c r="B4" i="12"/>
  <c r="E3" i="12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H9" i="5"/>
  <c r="A9" i="5"/>
  <c r="A8" i="5"/>
  <c r="A7" i="5"/>
  <c r="A6" i="5"/>
  <c r="A5" i="5"/>
  <c r="A4" i="5"/>
  <c r="A3" i="5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<sst xmlns="http://schemas.openxmlformats.org/spreadsheetml/2006/main" count="319" uniqueCount="78">
  <si>
    <t>Salesperson</t>
  </si>
  <si>
    <t>ID Number</t>
  </si>
  <si>
    <t>Date</t>
  </si>
  <si>
    <t>Sale Amount</t>
  </si>
  <si>
    <t>Commission</t>
  </si>
  <si>
    <t>Kennedi Singh</t>
  </si>
  <si>
    <t>Harley Fritz</t>
  </si>
  <si>
    <t>Franklin Wright</t>
  </si>
  <si>
    <t>Nyla Novak</t>
  </si>
  <si>
    <t>David Rasmussen</t>
  </si>
  <si>
    <t>Ivan Hines</t>
  </si>
  <si>
    <t>Jonah Higgins</t>
  </si>
  <si>
    <t>Bruno Cordova</t>
  </si>
  <si>
    <t>Jordan Boone</t>
  </si>
  <si>
    <t>Arturo Moore</t>
  </si>
  <si>
    <t>Kylee Townsend</t>
  </si>
  <si>
    <t>Nora Rollins</t>
  </si>
  <si>
    <t>Steven Michael</t>
  </si>
  <si>
    <t>Lucia Mckay</t>
  </si>
  <si>
    <t>Josue Roach</t>
  </si>
  <si>
    <t>Alia Thornton</t>
  </si>
  <si>
    <t>Denzel Flores</t>
  </si>
  <si>
    <t>Jaylynn Knapp</t>
  </si>
  <si>
    <t>Bruce Rich</t>
  </si>
  <si>
    <t>Bryce Carpenter</t>
  </si>
  <si>
    <t>Jaidyn Andersen</t>
  </si>
  <si>
    <t>Bill Smith</t>
  </si>
  <si>
    <t>date</t>
  </si>
  <si>
    <t>Vlookup</t>
  </si>
  <si>
    <t>Xlookup</t>
  </si>
  <si>
    <t>index position</t>
  </si>
  <si>
    <t xml:space="preserve"> </t>
  </si>
  <si>
    <t>Noila</t>
  </si>
  <si>
    <t>"when the value is not present"</t>
  </si>
  <si>
    <t>Company</t>
  </si>
  <si>
    <t>Name</t>
  </si>
  <si>
    <t>Coca-Cola Inc.</t>
  </si>
  <si>
    <t>Nike</t>
  </si>
  <si>
    <t>Nike Inc.</t>
  </si>
  <si>
    <t>Co</t>
  </si>
  <si>
    <t xml:space="preserve">When you dont know the fullname but you know the initial or some part of the word so we use </t>
  </si>
  <si>
    <t>Amazon UK</t>
  </si>
  <si>
    <t>Adidas</t>
  </si>
  <si>
    <t>the cell referece or the particular data and then use &amp;"*",lookup refrence</t>
  </si>
  <si>
    <t>Apple EMEA</t>
  </si>
  <si>
    <t>XYZ Limited</t>
  </si>
  <si>
    <t>Pepsi Co</t>
  </si>
  <si>
    <t>Adobe Inc</t>
  </si>
  <si>
    <t>Zara Fashion</t>
  </si>
  <si>
    <t>H&amp;M International</t>
  </si>
  <si>
    <t>Ralph Lauren Int.</t>
  </si>
  <si>
    <t>Adidas Co.</t>
  </si>
  <si>
    <t>P&amp;G Global</t>
  </si>
  <si>
    <t>Commissions by Salesperson</t>
  </si>
  <si>
    <t>Year</t>
  </si>
  <si>
    <t>Figures in USD</t>
  </si>
  <si>
    <t>Sum &amp; Filter</t>
  </si>
  <si>
    <t>Vegetables</t>
  </si>
  <si>
    <t>Carrot</t>
  </si>
  <si>
    <t xml:space="preserve">Brinjal </t>
  </si>
  <si>
    <t>Onion</t>
  </si>
  <si>
    <t>Tomato</t>
  </si>
  <si>
    <t>Price</t>
  </si>
  <si>
    <t>Cauliflower</t>
  </si>
  <si>
    <t>Caulifower</t>
  </si>
  <si>
    <t xml:space="preserve">Names </t>
  </si>
  <si>
    <t>kennedi Singh</t>
  </si>
  <si>
    <t>Sales</t>
  </si>
  <si>
    <t>Darshan</t>
  </si>
  <si>
    <t>HLOOKUP</t>
  </si>
  <si>
    <t>XLOOKUP</t>
  </si>
  <si>
    <t>Fashion</t>
  </si>
  <si>
    <t>Practice</t>
  </si>
  <si>
    <t>Limited</t>
  </si>
  <si>
    <t>Lauren</t>
  </si>
  <si>
    <t xml:space="preserve">//-1 to check in reverse </t>
  </si>
  <si>
    <t>Inc.</t>
  </si>
  <si>
    <t>// normally we get coce but if want to check in reverse we use 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</si>
</sst>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164" formatCode="[$$-409]#,##0"/>
    <numFmt numFmtId="165" formatCode="[$$-409]#,##0.00"/>
    <numFmt numFmtId="166" formatCode="&quot;₹&quot;#,##0.00_);[Red]\(&quot;₹&quot;#,##0.00\)"/>
    <numFmt numFmtId="167" formatCode="_-[$$-409]* #,##0.00_ ;_-[$$-409]* \-#,##0.00\ ;_-[$$-409]* &quot;-&quot;??_ ;_-@_ "/>
    <numFmt numFmtId="168" formatCode="_-[$$-409]* #,##0_ ;_-[$$-409]* \-#,##0\ ;_-[$$-409]* &quot;-&quot;??_ ;_-@_ "/>
  </numFmts>
  <fonts count="14">
    <font>
      <sz val="12"/>
      <color theme="1"/>
      <name val="Calibri"/>
      <charset val="134"/>
      <scheme val="minor"/>
    </font>
    <font>
      <b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charset val="134"/>
      <scheme val="minor"/>
    </font>
    <font>
      <sz val="12"/>
      <color theme="1"/>
      <name val="Calibri"/>
      <family val="2"/>
      <charset val="134"/>
      <scheme val="minor"/>
    </font>
    <font>
      <b/>
      <sz val="12"/>
      <color theme="0"/>
      <name val="Calibri"/>
      <family val="2"/>
      <charset val="134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93D68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/>
    <xf numFmtId="44" fontId="9" fillId="0" borderId="0" applyFont="0" applyFill="0" applyBorder="0" applyAlignment="0" applyProtection="0"/>
  </cellStyleXfs>
  <cellXfs count="4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0" fontId="3" fillId="0" borderId="0" xfId="0" applyFont="1"/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4" fillId="3" borderId="0" xfId="0" applyFont="1" applyFill="1"/>
    <xf numFmtId="0" fontId="1" fillId="2" borderId="0" xfId="0" applyFont="1" applyFill="1" applyAlignment="1">
      <alignment horizontal="left"/>
    </xf>
    <xf numFmtId="1" fontId="0" fillId="0" borderId="0" xfId="0" applyNumberFormat="1"/>
    <xf numFmtId="164" fontId="0" fillId="0" borderId="0" xfId="0" applyNumberFormat="1"/>
    <xf numFmtId="0" fontId="4" fillId="0" borderId="0" xfId="0" applyFont="1"/>
    <xf numFmtId="166" fontId="0" fillId="0" borderId="0" xfId="0" applyNumberFormat="1"/>
    <xf numFmtId="166" fontId="1" fillId="2" borderId="0" xfId="0" applyNumberFormat="1" applyFont="1" applyFill="1" applyAlignment="1">
      <alignment horizontal="center"/>
    </xf>
    <xf numFmtId="0" fontId="0" fillId="0" borderId="0" xfId="0" quotePrefix="1"/>
    <xf numFmtId="0" fontId="8" fillId="0" borderId="0" xfId="0" applyFont="1"/>
    <xf numFmtId="167" fontId="0" fillId="0" borderId="0" xfId="4" applyNumberFormat="1" applyFont="1"/>
    <xf numFmtId="167" fontId="0" fillId="0" borderId="0" xfId="0" applyNumberFormat="1"/>
    <xf numFmtId="0" fontId="10" fillId="0" borderId="0" xfId="0" applyFont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8" fillId="5" borderId="5" xfId="0" applyFont="1" applyFill="1" applyBorder="1"/>
    <xf numFmtId="168" fontId="0" fillId="0" borderId="1" xfId="0" applyNumberFormat="1" applyBorder="1"/>
    <xf numFmtId="168" fontId="0" fillId="0" borderId="6" xfId="0" applyNumberFormat="1" applyBorder="1"/>
    <xf numFmtId="0" fontId="8" fillId="0" borderId="5" xfId="0" applyFont="1" applyBorder="1"/>
    <xf numFmtId="0" fontId="10" fillId="0" borderId="7" xfId="0" applyFont="1" applyBorder="1"/>
    <xf numFmtId="168" fontId="0" fillId="0" borderId="8" xfId="0" applyNumberFormat="1" applyBorder="1"/>
    <xf numFmtId="168" fontId="0" fillId="0" borderId="9" xfId="0" applyNumberFormat="1" applyBorder="1"/>
    <xf numFmtId="0" fontId="12" fillId="0" borderId="0" xfId="0" applyFont="1"/>
    <xf numFmtId="0" fontId="1" fillId="2" borderId="0" xfId="0" applyFont="1" applyFill="1" applyAlignment="1">
      <alignment horizontal="center"/>
    </xf>
    <xf numFmtId="168" fontId="0" fillId="0" borderId="0" xfId="0" applyNumberForma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167" fontId="0" fillId="0" borderId="1" xfId="4" applyNumberFormat="1" applyFont="1" applyBorder="1"/>
    <xf numFmtId="0" fontId="13" fillId="0" borderId="0" xfId="0" applyFont="1"/>
    <xf numFmtId="0" fontId="8" fillId="0" borderId="1" xfId="0" applyFont="1" applyBorder="1" applyAlignment="1">
      <alignment horizontal="center"/>
    </xf>
    <xf numFmtId="167" fontId="0" fillId="0" borderId="1" xfId="0" applyNumberFormat="1" applyBorder="1" applyAlignment="1">
      <alignment horizontal="center"/>
    </xf>
  </cellXfs>
  <cellStyles count="5">
    <cellStyle name="Currency" xfId="4" builtinId="4"/>
    <cellStyle name="Hyperlink 2" xfId="1" xr:uid="{00000000-0005-0000-0000-000031000000}"/>
    <cellStyle name="Hyperlink 2 2" xfId="2" xr:uid="{00000000-0005-0000-0000-000032000000}"/>
    <cellStyle name="Normal" xfId="0" builtinId="0"/>
    <cellStyle name="Normal 2" xfId="3" xr:uid="{00000000-0005-0000-0000-000033000000}"/>
  </cellStyles>
  <dxfs count="11">
    <dxf>
      <numFmt numFmtId="168" formatCode="_-[$$-409]* #,##0_ ;_-[$$-409]* \-#,##0\ ;_-[$$-409]* &quot;-&quot;??_ ;_-@_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_-[$$-409]* #,##0_ ;_-[$$-409]* \-#,##0\ ;_-[$$-409]* &quot;-&quot;??_ ;_-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67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charset val="134"/>
        <scheme val="minor"/>
      </font>
      <numFmt numFmtId="167" formatCode="_-[$$-409]* #,##0.00_ ;_-[$$-409]* \-#,##0.00\ ;_-[$$-409]* &quot;-&quot;??_ ;_-@_ 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293D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E1DA9C-4C33-4C3D-B42C-962E885ED098}" name="Table1" displayName="Table1" ref="A2:D6" totalsRowShown="0" headerRowDxfId="10">
  <autoFilter ref="A2:D6" xr:uid="{CAE1DA9C-4C33-4C3D-B42C-962E885ED098}"/>
  <tableColumns count="4">
    <tableColumn id="1" xr3:uid="{1889A231-5D17-4A71-83C1-0BB077344BFB}" name="Names "/>
    <tableColumn id="2" xr3:uid="{BAE9F292-CA14-4E30-AE14-B84853512E9B}" name="Commission" dataDxfId="9" dataCellStyle="Currency">
      <calculatedColumnFormula>HLOOKUP(A3,Hlookup!$C$2:$X$6,5,0)</calculatedColumnFormula>
    </tableColumn>
    <tableColumn id="3" xr3:uid="{66FEFAA4-2CB5-47BF-A070-01CD721B076B}" name="Sales" dataDxfId="8">
      <calculatedColumnFormula>HLOOKUP(Table1[[#This Row],[Names ]],Hlookup!$C$2:$X$6,4,0)</calculatedColumnFormula>
    </tableColumn>
    <tableColumn id="4" xr3:uid="{07259A25-00FE-412D-837C-2E407489FAA2}" name="ID Number" dataDxfId="7">
      <calculatedColumnFormula>HLOOKUP(Table1[[#This Row],[Names ]],Hlookup!$C$2:$X$6,2,0)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7885EB-B0DE-4BBF-8F84-1BAF59252C18}" name="Table2" displayName="Table2" ref="A11:C16" totalsRowShown="0" headerRowDxfId="6" headerRowBorderDxfId="5" tableBorderDxfId="4" totalsRowBorderDxfId="3">
  <autoFilter ref="A11:C16" xr:uid="{407885EB-B0DE-4BBF-8F84-1BAF59252C18}"/>
  <tableColumns count="3">
    <tableColumn id="1" xr3:uid="{2A873A45-668C-4BB7-8E44-30B0A003C090}" name="Names " dataDxfId="2"/>
    <tableColumn id="2" xr3:uid="{99D6B06A-7C35-44E7-8DCC-E535359F4033}" name="Commission" dataDxfId="1">
      <calculatedColumnFormula>_xlfn.XLOOKUP(A12,Xlookup!$E$2:$E$23,Xlookup!$D$2:$D$23,"Not Available")</calculatedColumnFormula>
    </tableColumn>
    <tableColumn id="3" xr3:uid="{7FDAA229-10FC-4376-B70E-FBCED8C38B56}" name="Sales" dataDxfId="0">
      <calculatedColumnFormula>_xlfn.XLOOKUP(A12,Xlookup!$E$2:$E$23,Xlookup!$C$2:$C$23)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GridLines="0" zoomScale="99" zoomScaleNormal="99" workbookViewId="0">
      <selection activeCell="H4" sqref="H4"/>
    </sheetView>
  </sheetViews>
  <sheetFormatPr defaultColWidth="10.58203125" defaultRowHeight="15.5"/>
  <cols>
    <col min="1" max="1" width="15.5" customWidth="1"/>
    <col min="3" max="3" width="10.6640625"/>
    <col min="4" max="4" width="11.58203125" style="16" customWidth="1"/>
    <col min="5" max="5" width="11.08203125" customWidth="1"/>
    <col min="7" max="7" width="14.08203125" customWidth="1"/>
    <col min="8" max="8" width="12.58203125"/>
  </cols>
  <sheetData>
    <row r="1" spans="1:8">
      <c r="A1" s="1" t="s">
        <v>0</v>
      </c>
      <c r="B1" s="1" t="s">
        <v>1</v>
      </c>
      <c r="C1" s="1" t="s">
        <v>2</v>
      </c>
      <c r="D1" s="17" t="s">
        <v>3</v>
      </c>
      <c r="E1" s="17" t="s">
        <v>4</v>
      </c>
      <c r="G1" s="1" t="s">
        <v>0</v>
      </c>
      <c r="H1" s="1" t="s">
        <v>4</v>
      </c>
    </row>
    <row r="2" spans="1:8">
      <c r="A2" t="s">
        <v>5</v>
      </c>
      <c r="B2" s="13">
        <v>124300</v>
      </c>
      <c r="C2" s="10">
        <v>44754</v>
      </c>
      <c r="D2" s="16">
        <v>5436.33</v>
      </c>
      <c r="E2" s="16">
        <f>D2*0.2</f>
        <v>1087.2660000000001</v>
      </c>
      <c r="G2" t="s">
        <v>6</v>
      </c>
    </row>
    <row r="3" spans="1:8">
      <c r="A3" t="s">
        <v>6</v>
      </c>
      <c r="B3" s="13">
        <f>B2*1.2</f>
        <v>149160</v>
      </c>
      <c r="C3" s="10">
        <v>44751</v>
      </c>
      <c r="D3" s="16">
        <v>6197.4161999999997</v>
      </c>
      <c r="E3" s="16">
        <f t="shared" ref="E3:E23" si="0">D3*0.2</f>
        <v>1239.48324</v>
      </c>
      <c r="G3" t="s">
        <v>7</v>
      </c>
    </row>
    <row r="4" spans="1:8">
      <c r="A4" t="s">
        <v>8</v>
      </c>
      <c r="B4" s="13">
        <f>B3*1.02</f>
        <v>152143.20000000001</v>
      </c>
      <c r="C4" s="10">
        <v>44753</v>
      </c>
      <c r="D4" s="16">
        <v>7065.0544680000003</v>
      </c>
      <c r="E4" s="16">
        <f t="shared" si="0"/>
        <v>1413.0108936000001</v>
      </c>
    </row>
    <row r="5" spans="1:8">
      <c r="A5" t="s">
        <v>9</v>
      </c>
      <c r="B5" s="13">
        <f>B4*0.8</f>
        <v>121714.56000000001</v>
      </c>
      <c r="C5" s="10">
        <v>44748</v>
      </c>
      <c r="D5" s="16">
        <v>8054.1620935199999</v>
      </c>
      <c r="E5" s="16">
        <f t="shared" si="0"/>
        <v>1610.832418704</v>
      </c>
    </row>
    <row r="6" spans="1:8">
      <c r="A6" t="s">
        <v>10</v>
      </c>
      <c r="B6" s="13">
        <f>B5*0.9</f>
        <v>109543.10400000001</v>
      </c>
      <c r="C6" s="10">
        <v>44752</v>
      </c>
      <c r="D6" s="16">
        <v>9181.7447866128005</v>
      </c>
      <c r="E6" s="16">
        <f t="shared" si="0"/>
        <v>1836.3489573225602</v>
      </c>
      <c r="G6" t="s">
        <v>0</v>
      </c>
      <c r="H6" t="s">
        <v>3</v>
      </c>
    </row>
    <row r="7" spans="1:8">
      <c r="A7" t="s">
        <v>11</v>
      </c>
      <c r="B7" s="13">
        <f>B6*1.1</f>
        <v>120497.41440000002</v>
      </c>
      <c r="C7" s="10">
        <v>44755</v>
      </c>
      <c r="D7" s="16">
        <v>10467.1890567386</v>
      </c>
      <c r="E7" s="16">
        <f t="shared" si="0"/>
        <v>2093.4378113477201</v>
      </c>
      <c r="G7" s="15" t="s">
        <v>12</v>
      </c>
    </row>
    <row r="8" spans="1:8">
      <c r="A8" t="s">
        <v>13</v>
      </c>
      <c r="B8" s="13">
        <f>B7*1.02</f>
        <v>122907.36268800002</v>
      </c>
      <c r="C8" s="10">
        <v>44757</v>
      </c>
      <c r="D8" s="16">
        <v>2446.3485000000001</v>
      </c>
      <c r="E8" s="16">
        <f t="shared" si="0"/>
        <v>489.26970000000006</v>
      </c>
      <c r="G8" s="15" t="s">
        <v>14</v>
      </c>
    </row>
    <row r="9" spans="1:8">
      <c r="A9" t="s">
        <v>15</v>
      </c>
      <c r="B9" s="13">
        <f>B8*0.8</f>
        <v>98325.890150400024</v>
      </c>
      <c r="C9" s="10">
        <v>44754</v>
      </c>
      <c r="D9" s="16">
        <v>2690.98335</v>
      </c>
      <c r="E9" s="16">
        <f t="shared" si="0"/>
        <v>538.19667000000004</v>
      </c>
    </row>
    <row r="10" spans="1:8">
      <c r="A10" t="s">
        <v>16</v>
      </c>
      <c r="B10" s="13">
        <f>B9*0.9</f>
        <v>88493.30113536003</v>
      </c>
      <c r="C10" s="10">
        <v>44756</v>
      </c>
      <c r="D10" s="16">
        <v>2960.0816850000001</v>
      </c>
      <c r="E10" s="16">
        <f t="shared" si="0"/>
        <v>592.01633700000002</v>
      </c>
    </row>
    <row r="11" spans="1:8">
      <c r="A11" t="s">
        <v>17</v>
      </c>
      <c r="B11" s="13">
        <f>B10*1.1</f>
        <v>97342.631248896039</v>
      </c>
      <c r="C11" s="10">
        <v>44751</v>
      </c>
      <c r="D11" s="16">
        <v>3256.0898535000001</v>
      </c>
      <c r="E11" s="16">
        <f t="shared" si="0"/>
        <v>651.21797070000002</v>
      </c>
    </row>
    <row r="12" spans="1:8">
      <c r="A12" t="s">
        <v>18</v>
      </c>
      <c r="B12" s="13">
        <f>B11*1.02</f>
        <v>99289.483873873964</v>
      </c>
      <c r="C12" s="10">
        <v>44755</v>
      </c>
      <c r="D12" s="16">
        <v>3581.6988388499999</v>
      </c>
      <c r="E12" s="16">
        <f t="shared" si="0"/>
        <v>716.33976776999998</v>
      </c>
    </row>
    <row r="13" spans="1:8">
      <c r="A13" t="s">
        <v>19</v>
      </c>
      <c r="B13" s="13">
        <f>B12*0.8</f>
        <v>79431.587099099183</v>
      </c>
      <c r="C13" s="10">
        <v>44758</v>
      </c>
      <c r="D13" s="16">
        <v>3939.8687227350001</v>
      </c>
      <c r="E13" s="16">
        <f t="shared" si="0"/>
        <v>787.97374454700002</v>
      </c>
    </row>
    <row r="14" spans="1:8">
      <c r="A14" t="s">
        <v>7</v>
      </c>
      <c r="B14" s="13">
        <f>B13*0.9</f>
        <v>71488.42838918927</v>
      </c>
      <c r="C14" s="10">
        <v>44760</v>
      </c>
      <c r="D14" s="16">
        <v>4333.8555950085001</v>
      </c>
      <c r="E14" s="16">
        <f t="shared" si="0"/>
        <v>866.77111900170007</v>
      </c>
    </row>
    <row r="15" spans="1:8">
      <c r="A15" t="s">
        <v>20</v>
      </c>
      <c r="B15" s="13">
        <f>B14*1.1</f>
        <v>78637.271228108206</v>
      </c>
      <c r="C15" s="10">
        <v>44757</v>
      </c>
      <c r="D15" s="16">
        <v>4767.2411545093501</v>
      </c>
      <c r="E15" s="16">
        <f t="shared" si="0"/>
        <v>953.44823090187003</v>
      </c>
    </row>
    <row r="16" spans="1:8">
      <c r="A16" t="s">
        <v>21</v>
      </c>
      <c r="B16" s="13">
        <f>B15*1.02</f>
        <v>80210.016652670369</v>
      </c>
      <c r="C16" s="10">
        <v>44759</v>
      </c>
      <c r="D16" s="16">
        <v>5243.9652699602902</v>
      </c>
      <c r="E16" s="16">
        <f t="shared" si="0"/>
        <v>1048.793053992058</v>
      </c>
    </row>
    <row r="17" spans="1:5">
      <c r="A17" s="15" t="s">
        <v>12</v>
      </c>
      <c r="B17" s="13">
        <f>B16*0.8</f>
        <v>64168.013322136299</v>
      </c>
      <c r="C17" s="10">
        <v>44754</v>
      </c>
      <c r="D17" s="16">
        <v>5768.3617969563202</v>
      </c>
      <c r="E17" s="16">
        <f t="shared" si="0"/>
        <v>1153.6723593912641</v>
      </c>
    </row>
    <row r="18" spans="1:5">
      <c r="A18" t="s">
        <v>22</v>
      </c>
      <c r="B18" s="13">
        <f>B17*0.9</f>
        <v>57751.211989922667</v>
      </c>
      <c r="C18" s="10">
        <v>44758</v>
      </c>
      <c r="D18" s="16">
        <v>5191.5256172606896</v>
      </c>
      <c r="E18" s="16">
        <f t="shared" si="0"/>
        <v>1038.3051234521379</v>
      </c>
    </row>
    <row r="19" spans="1:5">
      <c r="A19" t="s">
        <v>23</v>
      </c>
      <c r="B19" s="13">
        <f>B18*1.1</f>
        <v>63526.333188914941</v>
      </c>
      <c r="C19" s="10">
        <v>44761</v>
      </c>
      <c r="D19" s="16">
        <v>6748.98330243889</v>
      </c>
      <c r="E19" s="16">
        <f t="shared" si="0"/>
        <v>1349.7966604877781</v>
      </c>
    </row>
    <row r="20" spans="1:5">
      <c r="A20" s="15" t="s">
        <v>14</v>
      </c>
      <c r="B20" s="13">
        <f>B19*1.02</f>
        <v>64796.85985269324</v>
      </c>
      <c r="C20" s="10">
        <v>44763</v>
      </c>
      <c r="D20" s="16">
        <v>8773.6782931705602</v>
      </c>
      <c r="E20" s="16">
        <f t="shared" si="0"/>
        <v>1754.735658634112</v>
      </c>
    </row>
    <row r="21" spans="1:5">
      <c r="A21" t="s">
        <v>24</v>
      </c>
      <c r="B21" s="13">
        <f>B20*0.8</f>
        <v>51837.487882154594</v>
      </c>
      <c r="C21" s="10">
        <v>44760</v>
      </c>
      <c r="D21" s="16">
        <v>11405.781781121699</v>
      </c>
      <c r="E21" s="16">
        <f t="shared" si="0"/>
        <v>2281.15635622434</v>
      </c>
    </row>
    <row r="22" spans="1:5">
      <c r="A22" t="s">
        <v>25</v>
      </c>
      <c r="B22" s="13">
        <f>B21*0.9</f>
        <v>46653.739093939133</v>
      </c>
      <c r="C22" s="10">
        <v>44762</v>
      </c>
      <c r="D22" s="16">
        <v>6650</v>
      </c>
      <c r="E22" s="16">
        <f t="shared" si="0"/>
        <v>1330</v>
      </c>
    </row>
    <row r="23" spans="1:5">
      <c r="A23" t="s">
        <v>26</v>
      </c>
      <c r="B23" s="13">
        <f>B22*1.1</f>
        <v>51319.113003333048</v>
      </c>
      <c r="C23" s="10">
        <v>44757</v>
      </c>
      <c r="D23" s="16">
        <v>7341</v>
      </c>
      <c r="E23" s="16">
        <f t="shared" si="0"/>
        <v>1468.2</v>
      </c>
    </row>
    <row r="24" spans="1:5">
      <c r="C24" s="10"/>
    </row>
    <row r="25" spans="1:5">
      <c r="C25" s="10"/>
    </row>
    <row r="26" spans="1:5">
      <c r="C26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zoomScaleNormal="100" workbookViewId="0">
      <selection activeCell="D8" sqref="D8"/>
    </sheetView>
  </sheetViews>
  <sheetFormatPr defaultColWidth="9" defaultRowHeight="15.5"/>
  <cols>
    <col min="1" max="1" width="15.08203125" bestFit="1" customWidth="1"/>
    <col min="2" max="2" width="11.75" bestFit="1" customWidth="1"/>
  </cols>
  <sheetData>
    <row r="1" spans="1:2">
      <c r="A1" s="1" t="s">
        <v>0</v>
      </c>
    </row>
    <row r="2" spans="1:2">
      <c r="A2" t="s">
        <v>5</v>
      </c>
      <c r="B2" s="18">
        <f>VLOOKUP(A2,Vlookup!$A$1:$E$23,5,0)</f>
        <v>1087.2660000000001</v>
      </c>
    </row>
    <row r="3" spans="1:2">
      <c r="A3" t="s">
        <v>6</v>
      </c>
      <c r="B3" s="18">
        <f>VLOOKUP(A3,Vlookup!$A$1:$E$23,5,0)</f>
        <v>1239.48324</v>
      </c>
    </row>
    <row r="4" spans="1:2">
      <c r="A4" t="s">
        <v>8</v>
      </c>
      <c r="B4" s="18">
        <f>VLOOKUP(A4,Vlookup!$A$1:$E$23,5,0)</f>
        <v>1413.0108936000001</v>
      </c>
    </row>
    <row r="5" spans="1:2">
      <c r="A5" t="s">
        <v>9</v>
      </c>
      <c r="B5" s="18">
        <f>VLOOKUP(A5,Vlookup!$A$1:$E$23,5,0)</f>
        <v>1610.832418704</v>
      </c>
    </row>
    <row r="6" spans="1:2">
      <c r="A6" t="s">
        <v>10</v>
      </c>
      <c r="B6" s="18">
        <f>VLOOKUP(A6,Vlookup!$A$1:$E$23,5,0)</f>
        <v>1836.3489573225602</v>
      </c>
    </row>
    <row r="7" spans="1:2">
      <c r="A7" t="s">
        <v>11</v>
      </c>
      <c r="B7" s="18">
        <f>VLOOKUP(A7,Vlookup!$A$1:$E$23,5,0)</f>
        <v>2093.4378113477201</v>
      </c>
    </row>
    <row r="8" spans="1:2">
      <c r="A8" t="s">
        <v>13</v>
      </c>
      <c r="B8" s="18">
        <f>VLOOKUP(A8,Vlookup!$A$1:$E$23,5,0)</f>
        <v>489.26970000000006</v>
      </c>
    </row>
    <row r="9" spans="1:2">
      <c r="A9" t="s">
        <v>15</v>
      </c>
      <c r="B9" s="18">
        <f>VLOOKUP(A9,Vlookup!$A$1:$E$23,5,0)</f>
        <v>538.19667000000004</v>
      </c>
    </row>
    <row r="10" spans="1:2">
      <c r="A10" t="s">
        <v>16</v>
      </c>
      <c r="B10" s="18">
        <f>VLOOKUP(A10,Vlookup!$A$1:$E$23,5,0)</f>
        <v>592.01633700000002</v>
      </c>
    </row>
    <row r="11" spans="1:2">
      <c r="A11" t="s">
        <v>17</v>
      </c>
      <c r="B11" s="18">
        <f>VLOOKUP(A11,Vlookup!$A$1:$E$23,5,0)</f>
        <v>651.21797070000002</v>
      </c>
    </row>
    <row r="12" spans="1:2">
      <c r="A12" t="s">
        <v>18</v>
      </c>
      <c r="B12" s="18">
        <f>VLOOKUP(A12,Vlookup!$A$1:$E$23,5,0)</f>
        <v>716.33976776999998</v>
      </c>
    </row>
    <row r="13" spans="1:2">
      <c r="A13" t="s">
        <v>19</v>
      </c>
      <c r="B13" s="18">
        <f>VLOOKUP(A13,Vlookup!$A$1:$E$23,5,0)</f>
        <v>787.97374454700002</v>
      </c>
    </row>
    <row r="14" spans="1:2">
      <c r="A14" t="s">
        <v>7</v>
      </c>
      <c r="B14" s="18">
        <f>VLOOKUP(A14,Vlookup!$A$1:$E$23,5,0)</f>
        <v>866.77111900170007</v>
      </c>
    </row>
    <row r="15" spans="1:2">
      <c r="A15" t="s">
        <v>20</v>
      </c>
      <c r="B15" s="18">
        <f>VLOOKUP(A15,Vlookup!$A$1:$E$23,5,0)</f>
        <v>953.44823090187003</v>
      </c>
    </row>
    <row r="16" spans="1:2">
      <c r="A16" t="s">
        <v>21</v>
      </c>
      <c r="B16" s="18">
        <f>VLOOKUP(A16,Vlookup!$A$1:$E$23,5,0)</f>
        <v>1048.793053992058</v>
      </c>
    </row>
    <row r="17" spans="1:2">
      <c r="A17" s="15" t="s">
        <v>12</v>
      </c>
      <c r="B17" s="18">
        <f>VLOOKUP(A17,Vlookup!$A$1:$E$23,5,0)</f>
        <v>1153.6723593912641</v>
      </c>
    </row>
    <row r="18" spans="1:2">
      <c r="A18" t="s">
        <v>22</v>
      </c>
      <c r="B18" s="18">
        <f>VLOOKUP(A18,Vlookup!$A$1:$E$23,5,0)</f>
        <v>1038.3051234521379</v>
      </c>
    </row>
    <row r="19" spans="1:2">
      <c r="A19" t="s">
        <v>23</v>
      </c>
      <c r="B19" s="18">
        <f>VLOOKUP(A19,Vlookup!$A$1:$E$23,5,0)</f>
        <v>1349.7966604877781</v>
      </c>
    </row>
    <row r="20" spans="1:2">
      <c r="A20" s="15" t="s">
        <v>14</v>
      </c>
      <c r="B20" s="18">
        <f>VLOOKUP(A20,Vlookup!$A$1:$E$23,5,0)</f>
        <v>1754.735658634112</v>
      </c>
    </row>
    <row r="21" spans="1:2">
      <c r="A21" t="s">
        <v>24</v>
      </c>
      <c r="B21" s="18">
        <f>VLOOKUP(A21,Vlookup!$A$1:$E$23,5,0)</f>
        <v>2281.15635622434</v>
      </c>
    </row>
    <row r="22" spans="1:2">
      <c r="A22" t="s">
        <v>6</v>
      </c>
      <c r="B22" s="18">
        <f>VLOOKUP(A22,Vlookup!$A$1:$E$23,5,0)</f>
        <v>1239.48324</v>
      </c>
    </row>
    <row r="23" spans="1:2">
      <c r="A23" t="s">
        <v>5</v>
      </c>
      <c r="B23" s="18">
        <f>VLOOKUP(A23,Vlookup!$A$1:$E$23,5,0)</f>
        <v>1087.2660000000001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A0863-3DAB-474B-89BF-40CA440DE104}">
  <dimension ref="A1:B6"/>
  <sheetViews>
    <sheetView zoomScaleNormal="100" workbookViewId="0">
      <selection activeCell="A3" sqref="A3"/>
    </sheetView>
  </sheetViews>
  <sheetFormatPr defaultRowHeight="15.5"/>
  <cols>
    <col min="1" max="1" width="10" bestFit="1" customWidth="1"/>
  </cols>
  <sheetData>
    <row r="1" spans="1:2">
      <c r="A1" s="19" t="s">
        <v>57</v>
      </c>
      <c r="B1" s="19" t="s">
        <v>62</v>
      </c>
    </row>
    <row r="2" spans="1:2">
      <c r="A2" s="19" t="s">
        <v>64</v>
      </c>
      <c r="B2">
        <v>50</v>
      </c>
    </row>
    <row r="3" spans="1:2">
      <c r="A3" s="19" t="s">
        <v>58</v>
      </c>
      <c r="B3">
        <v>60</v>
      </c>
    </row>
    <row r="4" spans="1:2">
      <c r="A4" s="19" t="s">
        <v>59</v>
      </c>
      <c r="B4">
        <v>30</v>
      </c>
    </row>
    <row r="5" spans="1:2">
      <c r="A5" s="19" t="s">
        <v>60</v>
      </c>
      <c r="B5">
        <v>20</v>
      </c>
    </row>
    <row r="6" spans="1:2">
      <c r="A6" s="19" t="s">
        <v>61</v>
      </c>
      <c r="B6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DFFCE-29A0-4DA0-A441-8609BD6A4C0A}">
  <dimension ref="A1:B1"/>
  <sheetViews>
    <sheetView zoomScaleNormal="100" workbookViewId="0">
      <selection sqref="A1:XFD1048576"/>
    </sheetView>
  </sheetViews>
  <sheetFormatPr defaultRowHeight="15.5"/>
  <cols>
    <col min="1" max="1" width="10.1640625" bestFit="1" customWidth="1"/>
    <col min="2" max="2" width="5" bestFit="1" customWidth="1"/>
  </cols>
  <sheetData>
    <row r="1" spans="1:2">
      <c r="A1" s="19" t="s">
        <v>63</v>
      </c>
      <c r="B1" t="e">
        <f>MATCH(A1,Sheet2!A1:A6,0)</f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15"/>
  <sheetViews>
    <sheetView showGridLines="0" workbookViewId="0">
      <selection activeCell="E8" sqref="E8"/>
    </sheetView>
  </sheetViews>
  <sheetFormatPr defaultColWidth="10.58203125" defaultRowHeight="15.5"/>
  <cols>
    <col min="2" max="2" width="15.08203125" bestFit="1" customWidth="1"/>
    <col min="3" max="3" width="12.4140625" bestFit="1" customWidth="1"/>
    <col min="4" max="4" width="10" bestFit="1" customWidth="1"/>
    <col min="5" max="5" width="10.1640625" bestFit="1" customWidth="1"/>
    <col min="6" max="6" width="15.08203125" bestFit="1" customWidth="1"/>
    <col min="7" max="7" width="9.9140625" bestFit="1" customWidth="1"/>
    <col min="8" max="8" width="12" bestFit="1" customWidth="1"/>
    <col min="9" max="9" width="12.08203125" bestFit="1" customWidth="1"/>
    <col min="10" max="10" width="14.1640625" bestFit="1" customWidth="1"/>
    <col min="11" max="11" width="10.75" bestFit="1" customWidth="1"/>
    <col min="12" max="12" width="13.5" bestFit="1" customWidth="1"/>
    <col min="13" max="14" width="10.83203125" bestFit="1" customWidth="1"/>
    <col min="15" max="15" width="13.5" bestFit="1" customWidth="1"/>
    <col min="16" max="16" width="12.08203125" bestFit="1" customWidth="1"/>
    <col min="17" max="17" width="11.6640625" bestFit="1" customWidth="1"/>
    <col min="18" max="18" width="13.1640625" bestFit="1" customWidth="1"/>
    <col min="19" max="19" width="12.58203125" bestFit="1" customWidth="1"/>
    <col min="20" max="20" width="9.9140625" bestFit="1" customWidth="1"/>
    <col min="21" max="21" width="12.08203125" bestFit="1" customWidth="1"/>
    <col min="22" max="22" width="14" bestFit="1" customWidth="1"/>
    <col min="23" max="23" width="14.33203125" bestFit="1" customWidth="1"/>
    <col min="24" max="24" width="9.9140625" bestFit="1" customWidth="1"/>
  </cols>
  <sheetData>
    <row r="2" spans="2:24">
      <c r="B2" s="12" t="s">
        <v>0</v>
      </c>
      <c r="C2" t="s">
        <v>5</v>
      </c>
      <c r="D2" t="s">
        <v>6</v>
      </c>
      <c r="E2" t="s">
        <v>8</v>
      </c>
      <c r="F2" t="s">
        <v>9</v>
      </c>
      <c r="G2" t="s">
        <v>10</v>
      </c>
      <c r="H2" t="s">
        <v>11</v>
      </c>
      <c r="I2" t="s">
        <v>13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7</v>
      </c>
      <c r="P2" t="s">
        <v>20</v>
      </c>
      <c r="Q2" t="s">
        <v>21</v>
      </c>
      <c r="R2" t="s">
        <v>12</v>
      </c>
      <c r="S2" t="s">
        <v>22</v>
      </c>
      <c r="T2" t="s">
        <v>23</v>
      </c>
      <c r="U2" t="s">
        <v>14</v>
      </c>
      <c r="V2" t="s">
        <v>24</v>
      </c>
      <c r="W2" t="s">
        <v>25</v>
      </c>
      <c r="X2" t="s">
        <v>26</v>
      </c>
    </row>
    <row r="3" spans="2:24">
      <c r="B3" s="12" t="s">
        <v>1</v>
      </c>
      <c r="C3" s="13">
        <v>124300</v>
      </c>
      <c r="D3" s="13">
        <v>149160</v>
      </c>
      <c r="E3" s="13">
        <v>152143.20000000001</v>
      </c>
      <c r="F3" s="13">
        <v>121714.56</v>
      </c>
      <c r="G3" s="13">
        <v>109543.10400000001</v>
      </c>
      <c r="H3" s="13">
        <v>120497.41439999999</v>
      </c>
      <c r="I3" s="13">
        <v>122907.36268799999</v>
      </c>
      <c r="J3" s="13">
        <v>98325.890150399995</v>
      </c>
      <c r="K3" s="13">
        <v>88493.301135360001</v>
      </c>
      <c r="L3" s="13">
        <v>97342.631248895996</v>
      </c>
      <c r="M3" s="13">
        <v>99289.483873874007</v>
      </c>
      <c r="N3" s="13">
        <v>79431.587099099197</v>
      </c>
      <c r="O3" s="13">
        <v>71488.428389189299</v>
      </c>
      <c r="P3" s="13">
        <v>78637.271228108206</v>
      </c>
      <c r="Q3" s="13">
        <v>80210.016652670398</v>
      </c>
      <c r="R3" s="13">
        <v>64168.013322136299</v>
      </c>
      <c r="S3" s="13">
        <v>57751.211989922696</v>
      </c>
      <c r="T3" s="13">
        <v>63526.333188914898</v>
      </c>
      <c r="U3" s="13">
        <v>64796.859852693196</v>
      </c>
      <c r="V3" s="13">
        <v>51837.487882154601</v>
      </c>
      <c r="W3" s="13">
        <v>46653.739093939097</v>
      </c>
      <c r="X3" s="13">
        <v>51319.113003332997</v>
      </c>
    </row>
    <row r="4" spans="2:24">
      <c r="B4" s="12" t="s">
        <v>2</v>
      </c>
      <c r="C4" s="10">
        <v>44754</v>
      </c>
      <c r="D4" s="10">
        <v>44751</v>
      </c>
      <c r="E4" s="10">
        <v>44753</v>
      </c>
      <c r="F4" s="10">
        <v>44748</v>
      </c>
      <c r="G4" s="10">
        <v>44752</v>
      </c>
      <c r="H4" s="10">
        <v>44755</v>
      </c>
      <c r="I4" s="10">
        <v>44757</v>
      </c>
      <c r="J4" s="10">
        <v>44754</v>
      </c>
      <c r="K4" s="10">
        <v>44756</v>
      </c>
      <c r="L4" s="10">
        <v>44751</v>
      </c>
      <c r="M4" s="10">
        <v>44755</v>
      </c>
      <c r="N4" s="10">
        <v>44758</v>
      </c>
      <c r="O4" s="10">
        <v>44760</v>
      </c>
      <c r="P4" s="10">
        <v>44757</v>
      </c>
      <c r="Q4" s="10">
        <v>44759</v>
      </c>
      <c r="R4" s="10">
        <v>44754</v>
      </c>
      <c r="S4" s="10">
        <v>44758</v>
      </c>
      <c r="T4" s="10">
        <v>44761</v>
      </c>
      <c r="U4" s="10">
        <v>44763</v>
      </c>
      <c r="V4" s="10">
        <v>44760</v>
      </c>
      <c r="W4" s="10">
        <v>44762</v>
      </c>
      <c r="X4" s="10">
        <v>44757</v>
      </c>
    </row>
    <row r="5" spans="2:24">
      <c r="B5" s="12" t="s">
        <v>3</v>
      </c>
      <c r="C5" s="14">
        <v>5436.33</v>
      </c>
      <c r="D5" s="14">
        <v>6197.4161999999997</v>
      </c>
      <c r="E5" s="14">
        <v>7065.0544680000003</v>
      </c>
      <c r="F5" s="14">
        <v>8054.1620935199999</v>
      </c>
      <c r="G5" s="14">
        <v>9181.7447866128005</v>
      </c>
      <c r="H5" s="14">
        <v>10467.1890567386</v>
      </c>
      <c r="I5" s="14">
        <v>2446.3485000000001</v>
      </c>
      <c r="J5" s="14">
        <v>2690.98335</v>
      </c>
      <c r="K5" s="14">
        <v>2960.0816850000001</v>
      </c>
      <c r="L5" s="14">
        <v>3256.0898535000001</v>
      </c>
      <c r="M5" s="14">
        <v>3581.6988388499999</v>
      </c>
      <c r="N5" s="14">
        <v>3939.8687227350001</v>
      </c>
      <c r="O5" s="14">
        <v>4333.8555950085001</v>
      </c>
      <c r="P5" s="14">
        <v>4767.2411545093501</v>
      </c>
      <c r="Q5" s="14">
        <v>5243.9652699602902</v>
      </c>
      <c r="R5" s="14">
        <v>5768.3617969563202</v>
      </c>
      <c r="S5" s="14">
        <v>5191.5256172606896</v>
      </c>
      <c r="T5" s="14">
        <v>6748.98330243889</v>
      </c>
      <c r="U5" s="14">
        <v>8773.6782931705602</v>
      </c>
      <c r="V5" s="14">
        <v>11405.781781121699</v>
      </c>
      <c r="W5" s="14">
        <v>6650</v>
      </c>
      <c r="X5" s="14">
        <v>7341</v>
      </c>
    </row>
    <row r="6" spans="2:24">
      <c r="B6" s="12" t="s">
        <v>4</v>
      </c>
      <c r="C6" s="14">
        <v>1087.2660000000001</v>
      </c>
      <c r="D6" s="14">
        <v>1239.48324</v>
      </c>
      <c r="E6" s="14">
        <v>1413.0108935999999</v>
      </c>
      <c r="F6" s="14">
        <v>1610.832418704</v>
      </c>
      <c r="G6" s="14">
        <v>1836.34895732256</v>
      </c>
      <c r="H6" s="14">
        <v>2093.4378113477201</v>
      </c>
      <c r="I6" s="14">
        <v>489.2697</v>
      </c>
      <c r="J6" s="14">
        <v>538.19667000000004</v>
      </c>
      <c r="K6" s="14">
        <v>592.01633700000002</v>
      </c>
      <c r="L6" s="14">
        <v>651.21797070000002</v>
      </c>
      <c r="M6" s="14">
        <v>716.33976776999998</v>
      </c>
      <c r="N6" s="14">
        <v>787.97374454700002</v>
      </c>
      <c r="O6" s="14">
        <v>866.77111900169996</v>
      </c>
      <c r="P6" s="14">
        <v>953.44823090187106</v>
      </c>
      <c r="Q6" s="14">
        <v>1048.7930539920601</v>
      </c>
      <c r="R6" s="14">
        <v>1153.67235939126</v>
      </c>
      <c r="S6" s="14">
        <v>1038.3051234521399</v>
      </c>
      <c r="T6" s="14">
        <v>1349.7966604877799</v>
      </c>
      <c r="U6" s="14">
        <v>1754.73565863411</v>
      </c>
      <c r="V6" s="14">
        <v>2281.15635622435</v>
      </c>
      <c r="W6" s="14">
        <v>1330</v>
      </c>
      <c r="X6" s="14">
        <v>1468.2</v>
      </c>
    </row>
    <row r="8" spans="2:24">
      <c r="B8" s="12" t="s">
        <v>0</v>
      </c>
      <c r="C8" s="12" t="s">
        <v>4</v>
      </c>
    </row>
    <row r="9" spans="2:24">
      <c r="B9" t="s">
        <v>6</v>
      </c>
      <c r="C9">
        <f>HLOOKUP(B9,$C$2:$X$6,5,0)</f>
        <v>1239.48324</v>
      </c>
    </row>
    <row r="10" spans="2:24">
      <c r="B10" t="s">
        <v>10</v>
      </c>
      <c r="C10">
        <f t="shared" ref="C10:C11" si="0">HLOOKUP(B10,$C$2:$X$6,5,0)</f>
        <v>1836.34895732256</v>
      </c>
    </row>
    <row r="11" spans="2:24">
      <c r="B11" t="s">
        <v>11</v>
      </c>
      <c r="C11">
        <f t="shared" si="0"/>
        <v>2093.4378113477201</v>
      </c>
    </row>
    <row r="13" spans="2:24">
      <c r="C13" t="s">
        <v>27</v>
      </c>
    </row>
    <row r="14" spans="2:24">
      <c r="B14" t="s">
        <v>18</v>
      </c>
    </row>
    <row r="15" spans="2:24">
      <c r="B15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0BFF6-C719-43EB-B76A-4DF48D484796}">
  <dimension ref="A1:F16"/>
  <sheetViews>
    <sheetView workbookViewId="0">
      <selection activeCell="A10" sqref="A10"/>
    </sheetView>
  </sheetViews>
  <sheetFormatPr defaultRowHeight="15.5"/>
  <cols>
    <col min="1" max="1" width="15.08203125" bestFit="1" customWidth="1"/>
    <col min="2" max="2" width="15.25" bestFit="1" customWidth="1"/>
    <col min="3" max="3" width="13" bestFit="1" customWidth="1"/>
    <col min="4" max="4" width="14" bestFit="1" customWidth="1"/>
    <col min="6" max="6" width="9.75" bestFit="1" customWidth="1"/>
  </cols>
  <sheetData>
    <row r="1" spans="1:6" ht="23.5">
      <c r="A1" s="33" t="s">
        <v>69</v>
      </c>
    </row>
    <row r="2" spans="1:6">
      <c r="A2" s="5" t="s">
        <v>65</v>
      </c>
      <c r="B2" s="5" t="s">
        <v>4</v>
      </c>
      <c r="C2" s="22" t="s">
        <v>67</v>
      </c>
      <c r="D2" s="22" t="s">
        <v>1</v>
      </c>
    </row>
    <row r="3" spans="1:6">
      <c r="A3" t="s">
        <v>66</v>
      </c>
      <c r="B3" s="20">
        <f>HLOOKUP(A3,Hlookup!$C$2:$X$6,5,0)</f>
        <v>1087.2660000000001</v>
      </c>
      <c r="C3" s="21">
        <f>HLOOKUP(Table1[[#This Row],[Names ]],Hlookup!$C$2:$X$6,4,0)</f>
        <v>5436.33</v>
      </c>
      <c r="D3" s="13">
        <f>HLOOKUP(Table1[[#This Row],[Names ]],Hlookup!$C$2:$X$6,2,0)</f>
        <v>124300</v>
      </c>
    </row>
    <row r="4" spans="1:6">
      <c r="A4" t="s">
        <v>9</v>
      </c>
      <c r="B4" s="20">
        <f>HLOOKUP(A4,Hlookup!$C$2:$X$6,5,0)</f>
        <v>1610.832418704</v>
      </c>
      <c r="C4" s="21">
        <f>HLOOKUP(Table1[[#This Row],[Names ]],Hlookup!$C$2:$X$6,4,0)</f>
        <v>8054.1620935199999</v>
      </c>
      <c r="D4" s="13">
        <f>HLOOKUP(Table1[[#This Row],[Names ]],Hlookup!$C$2:$X$6,2,0)</f>
        <v>121714.56</v>
      </c>
      <c r="F4" s="35"/>
    </row>
    <row r="5" spans="1:6">
      <c r="A5" t="s">
        <v>15</v>
      </c>
      <c r="B5" s="20">
        <f>HLOOKUP(A5,Hlookup!$C$2:$X$6,5,0)</f>
        <v>538.19667000000004</v>
      </c>
      <c r="C5" s="21">
        <f>HLOOKUP(Table1[[#This Row],[Names ]],Hlookup!$C$2:$X$6,4,0)</f>
        <v>2690.98335</v>
      </c>
      <c r="D5" s="13">
        <f>HLOOKUP(Table1[[#This Row],[Names ]],Hlookup!$C$2:$X$6,2,0)</f>
        <v>98325.890150399995</v>
      </c>
    </row>
    <row r="6" spans="1:6">
      <c r="A6" t="s">
        <v>8</v>
      </c>
      <c r="B6" s="20">
        <f>HLOOKUP(A6,Hlookup!$C$2:$X$6,5,0)</f>
        <v>1413.0108935999999</v>
      </c>
      <c r="C6" s="21">
        <f>HLOOKUP(Table1[[#This Row],[Names ]],Hlookup!$C$2:$X$6,4,0)</f>
        <v>7065.0544680000003</v>
      </c>
      <c r="D6" s="13">
        <f>HLOOKUP(Table1[[#This Row],[Names ]],Hlookup!$C$2:$X$6,2,0)</f>
        <v>152143.20000000001</v>
      </c>
    </row>
    <row r="10" spans="1:6" ht="23.5">
      <c r="A10" s="33" t="s">
        <v>70</v>
      </c>
    </row>
    <row r="11" spans="1:6">
      <c r="A11" s="23" t="s">
        <v>65</v>
      </c>
      <c r="B11" s="24" t="s">
        <v>4</v>
      </c>
      <c r="C11" s="25" t="s">
        <v>67</v>
      </c>
    </row>
    <row r="12" spans="1:6">
      <c r="A12" s="26" t="s">
        <v>66</v>
      </c>
      <c r="B12" s="27">
        <f>_xlfn.XLOOKUP(A12,Xlookup!$E$2:$E$23,Xlookup!$D$2:$D$23,"Not Available")</f>
        <v>1087.2660000000001</v>
      </c>
      <c r="C12" s="28">
        <f>_xlfn.XLOOKUP(A12,Xlookup!$E$2:$E$23,Xlookup!$C$2:$C$23)</f>
        <v>5436.33</v>
      </c>
    </row>
    <row r="13" spans="1:6">
      <c r="A13" s="29" t="s">
        <v>9</v>
      </c>
      <c r="B13" s="27">
        <f>_xlfn.XLOOKUP(A13,Xlookup!$E$2:$E$23,Xlookup!$D$2:$D$23,"Not Available")</f>
        <v>1610.832418704</v>
      </c>
      <c r="C13" s="28">
        <f>_xlfn.XLOOKUP(A13,Xlookup!$E$2:$E$23,Xlookup!$C$2:$C$23)</f>
        <v>8054.1620935199999</v>
      </c>
    </row>
    <row r="14" spans="1:6">
      <c r="A14" s="26" t="s">
        <v>15</v>
      </c>
      <c r="B14" s="27">
        <f>_xlfn.XLOOKUP(A14,Xlookup!$E$2:$E$23,Xlookup!$D$2:$D$23,"Not Available")</f>
        <v>538.19667000000004</v>
      </c>
      <c r="C14" s="28">
        <f>_xlfn.XLOOKUP(A14,Xlookup!$E$2:$E$23,Xlookup!$C$2:$C$23)</f>
        <v>2690.98335</v>
      </c>
    </row>
    <row r="15" spans="1:6">
      <c r="A15" s="29" t="s">
        <v>8</v>
      </c>
      <c r="B15" s="27">
        <f>_xlfn.XLOOKUP(A15,Xlookup!$E$2:$E$23,Xlookup!$D$2:$D$23,"Not Available")</f>
        <v>1413.0108935999999</v>
      </c>
      <c r="C15" s="28">
        <f>_xlfn.XLOOKUP(A15,Xlookup!$E$2:$E$23,Xlookup!$C$2:$C$23)</f>
        <v>7065.0544680000003</v>
      </c>
    </row>
    <row r="16" spans="1:6">
      <c r="A16" s="30" t="s">
        <v>68</v>
      </c>
      <c r="B16" s="31" t="str">
        <f>_xlfn.XLOOKUP(A16,Xlookup!$E$2:$E$23,Xlookup!$D$2:$D$23,"Not Available")</f>
        <v>Not Available</v>
      </c>
      <c r="C16" s="32" t="str">
        <f>_xlfn.XLOOKUP(B16,Xlookup!$E$2:$E$23,Xlookup!$D$2:$D$23,"Not Available")</f>
        <v>Not Available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showGridLines="0" zoomScale="108" zoomScaleNormal="108" workbookViewId="0">
      <selection activeCell="H3" sqref="H3"/>
    </sheetView>
  </sheetViews>
  <sheetFormatPr defaultColWidth="10.58203125" defaultRowHeight="15.5"/>
  <cols>
    <col min="2" max="2" width="10.6640625"/>
    <col min="3" max="3" width="11.58203125" customWidth="1"/>
    <col min="4" max="4" width="11.08203125" customWidth="1"/>
    <col min="5" max="5" width="15.5" customWidth="1"/>
    <col min="6" max="6" width="6.9140625" customWidth="1"/>
    <col min="8" max="8" width="12.4140625" customWidth="1"/>
    <col min="9" max="9" width="12.1640625" customWidth="1"/>
  </cols>
  <sheetData>
    <row r="1" spans="1:9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  <c r="G1" s="34" t="s">
        <v>28</v>
      </c>
      <c r="H1" s="34"/>
    </row>
    <row r="2" spans="1:9">
      <c r="A2" s="8">
        <v>124300</v>
      </c>
      <c r="B2" s="9">
        <v>44754</v>
      </c>
      <c r="C2" s="4">
        <v>5436.33</v>
      </c>
      <c r="D2" s="4">
        <v>1087.2660000000001</v>
      </c>
      <c r="E2" t="s">
        <v>5</v>
      </c>
      <c r="G2" s="11" t="s">
        <v>0</v>
      </c>
      <c r="H2" s="11" t="s">
        <v>4</v>
      </c>
    </row>
    <row r="3" spans="1:9">
      <c r="A3" s="8">
        <f>A2*1.2</f>
        <v>149160</v>
      </c>
      <c r="B3" s="9">
        <v>44751</v>
      </c>
      <c r="C3" s="4">
        <v>6197.4161999999997</v>
      </c>
      <c r="D3" s="4">
        <v>1239.48324</v>
      </c>
      <c r="E3" t="s">
        <v>6</v>
      </c>
      <c r="G3" t="s">
        <v>6</v>
      </c>
      <c r="H3" s="35">
        <f>_xlfn.XLOOKUP(G3,E2:E23,D2:D23,"NOT")</f>
        <v>1239.48324</v>
      </c>
    </row>
    <row r="4" spans="1:9">
      <c r="A4" s="8">
        <f>A3*1.02</f>
        <v>152143.20000000001</v>
      </c>
      <c r="B4" s="9">
        <v>44753</v>
      </c>
      <c r="C4" s="4">
        <v>7065.0544680000003</v>
      </c>
      <c r="D4" s="4">
        <v>1413.0108935999999</v>
      </c>
      <c r="E4" t="s">
        <v>8</v>
      </c>
      <c r="H4" s="1"/>
    </row>
    <row r="5" spans="1:9">
      <c r="A5" s="8">
        <f>A4*0.8</f>
        <v>121714.56</v>
      </c>
      <c r="B5" s="9">
        <v>44748</v>
      </c>
      <c r="C5" s="4">
        <v>8054.1620935199999</v>
      </c>
      <c r="D5" s="4">
        <v>1610.832418704</v>
      </c>
      <c r="E5" t="s">
        <v>9</v>
      </c>
      <c r="G5" s="1" t="s">
        <v>29</v>
      </c>
      <c r="H5" s="11" t="s">
        <v>4</v>
      </c>
    </row>
    <row r="6" spans="1:9">
      <c r="A6" s="8">
        <f>A5*0.9</f>
        <v>109543.10400000001</v>
      </c>
      <c r="B6" s="9">
        <v>44752</v>
      </c>
      <c r="C6" s="4">
        <v>9181.7447866128005</v>
      </c>
      <c r="D6" s="4">
        <v>1836.34895732256</v>
      </c>
      <c r="E6" t="s">
        <v>10</v>
      </c>
      <c r="G6" s="11" t="s">
        <v>0</v>
      </c>
    </row>
    <row r="7" spans="1:9">
      <c r="A7" s="8">
        <f>A6*1.1</f>
        <v>120497.41439999999</v>
      </c>
      <c r="B7" s="9">
        <v>44755</v>
      </c>
      <c r="C7" s="4">
        <v>10467.1890567386</v>
      </c>
      <c r="D7" s="4">
        <v>2093.4378113477201</v>
      </c>
      <c r="E7" t="s">
        <v>11</v>
      </c>
      <c r="G7" t="s">
        <v>26</v>
      </c>
    </row>
    <row r="8" spans="1:9">
      <c r="A8" s="8">
        <f>A7*1.02</f>
        <v>122907.36268799999</v>
      </c>
      <c r="B8" s="9">
        <v>44757</v>
      </c>
      <c r="C8" s="4">
        <v>2446.3485000000001</v>
      </c>
      <c r="D8" s="4">
        <v>489.2697</v>
      </c>
      <c r="E8" t="s">
        <v>13</v>
      </c>
    </row>
    <row r="9" spans="1:9">
      <c r="A9" s="8">
        <f>A8*0.8</f>
        <v>98325.890150399995</v>
      </c>
      <c r="B9" s="9">
        <v>44754</v>
      </c>
      <c r="C9" s="4">
        <v>2690.98335</v>
      </c>
      <c r="D9" s="4">
        <v>538.19667000000004</v>
      </c>
      <c r="E9" t="s">
        <v>15</v>
      </c>
      <c r="G9" t="s">
        <v>8</v>
      </c>
      <c r="H9">
        <f>MATCH(G9,E1:E23)</f>
        <v>23</v>
      </c>
      <c r="I9" t="s">
        <v>30</v>
      </c>
    </row>
    <row r="10" spans="1:9">
      <c r="A10" s="8">
        <f>A9*0.9</f>
        <v>88493.301135360001</v>
      </c>
      <c r="B10" s="9">
        <v>44756</v>
      </c>
      <c r="C10" s="4">
        <v>2960.0816850000001</v>
      </c>
      <c r="D10" s="4">
        <v>592.01633700000002</v>
      </c>
      <c r="E10" t="s">
        <v>16</v>
      </c>
    </row>
    <row r="11" spans="1:9">
      <c r="A11" s="8">
        <f>A10*1.1</f>
        <v>97342.631248895996</v>
      </c>
      <c r="B11" s="9">
        <v>44751</v>
      </c>
      <c r="C11" s="4">
        <v>3256.0898535000001</v>
      </c>
      <c r="D11" s="4">
        <v>651.21797070000002</v>
      </c>
      <c r="E11" t="s">
        <v>17</v>
      </c>
    </row>
    <row r="12" spans="1:9">
      <c r="A12" s="8">
        <f>A11*1.02</f>
        <v>99289.483873874007</v>
      </c>
      <c r="B12" s="9">
        <v>44755</v>
      </c>
      <c r="C12" s="4">
        <v>3581.6988388499999</v>
      </c>
      <c r="D12" s="4">
        <v>716.33976776999998</v>
      </c>
      <c r="E12" t="s">
        <v>18</v>
      </c>
    </row>
    <row r="13" spans="1:9">
      <c r="A13" s="8">
        <f>A12*0.8</f>
        <v>79431.587099099197</v>
      </c>
      <c r="B13" s="9">
        <v>44758</v>
      </c>
      <c r="C13" s="4">
        <v>3939.8687227350001</v>
      </c>
      <c r="D13" s="4">
        <v>787.97374454700002</v>
      </c>
      <c r="E13" t="s">
        <v>19</v>
      </c>
    </row>
    <row r="14" spans="1:9">
      <c r="A14" s="8">
        <f>A13*0.9</f>
        <v>71488.428389189299</v>
      </c>
      <c r="B14" s="9">
        <v>44760</v>
      </c>
      <c r="C14" s="4">
        <v>4333.8555950085001</v>
      </c>
      <c r="D14" s="4">
        <v>866.77111900169996</v>
      </c>
      <c r="E14" t="s">
        <v>7</v>
      </c>
    </row>
    <row r="15" spans="1:9">
      <c r="A15" s="8">
        <f>A14*1.1</f>
        <v>78637.271228108206</v>
      </c>
      <c r="B15" s="9">
        <v>44757</v>
      </c>
      <c r="C15" s="4">
        <v>4767.2411545093501</v>
      </c>
      <c r="D15" s="4">
        <v>953.44823090187003</v>
      </c>
      <c r="E15" t="s">
        <v>20</v>
      </c>
    </row>
    <row r="16" spans="1:9">
      <c r="A16" s="8">
        <f>A15*1.02</f>
        <v>80210.016652670398</v>
      </c>
      <c r="B16" s="9">
        <v>44759</v>
      </c>
      <c r="C16" s="4">
        <v>5243.9652699602902</v>
      </c>
      <c r="D16" s="4">
        <v>1048.7930539920601</v>
      </c>
      <c r="E16" t="s">
        <v>21</v>
      </c>
    </row>
    <row r="17" spans="1:5">
      <c r="A17" s="8">
        <f>A16*0.8</f>
        <v>64168.013322136299</v>
      </c>
      <c r="B17" s="9">
        <v>44754</v>
      </c>
      <c r="C17" s="4">
        <v>5768.3617969563202</v>
      </c>
      <c r="D17" s="4">
        <v>1153.67235939126</v>
      </c>
      <c r="E17" t="s">
        <v>12</v>
      </c>
    </row>
    <row r="18" spans="1:5">
      <c r="A18" s="8">
        <f>A17*0.9</f>
        <v>57751.211989922696</v>
      </c>
      <c r="B18" s="9">
        <v>44758</v>
      </c>
      <c r="C18" s="4">
        <v>5191.5256172606896</v>
      </c>
      <c r="D18" s="4">
        <v>1038.3051234521399</v>
      </c>
      <c r="E18" t="s">
        <v>22</v>
      </c>
    </row>
    <row r="19" spans="1:5">
      <c r="A19" s="8">
        <f>A18*1.1</f>
        <v>63526.333188914898</v>
      </c>
      <c r="B19" s="9">
        <v>44761</v>
      </c>
      <c r="C19" s="4">
        <v>6748.98330243889</v>
      </c>
      <c r="D19" s="4">
        <v>1349.7966604877799</v>
      </c>
      <c r="E19" t="s">
        <v>23</v>
      </c>
    </row>
    <row r="20" spans="1:5">
      <c r="A20" s="8">
        <f>A19*1.02</f>
        <v>64796.859852693196</v>
      </c>
      <c r="B20" s="9">
        <v>44763</v>
      </c>
      <c r="C20" s="4">
        <v>8773.6782931705602</v>
      </c>
      <c r="D20" s="4">
        <v>1754.73565863411</v>
      </c>
      <c r="E20" t="s">
        <v>14</v>
      </c>
    </row>
    <row r="21" spans="1:5">
      <c r="A21" s="8">
        <f>A20*0.8</f>
        <v>51837.487882154601</v>
      </c>
      <c r="B21" s="9">
        <v>44760</v>
      </c>
      <c r="C21" s="4">
        <v>11405.781781121699</v>
      </c>
      <c r="D21" s="4">
        <v>2281.15635622434</v>
      </c>
      <c r="E21" t="s">
        <v>24</v>
      </c>
    </row>
    <row r="22" spans="1:5">
      <c r="A22" s="8">
        <f>A21*0.9</f>
        <v>46653.739093939097</v>
      </c>
      <c r="B22" s="9">
        <v>44762</v>
      </c>
      <c r="C22" s="4">
        <v>6650</v>
      </c>
      <c r="D22" s="4">
        <v>1330</v>
      </c>
      <c r="E22" t="s">
        <v>25</v>
      </c>
    </row>
    <row r="23" spans="1:5">
      <c r="A23" s="8">
        <f>A22*1.1</f>
        <v>51319.113003332997</v>
      </c>
      <c r="B23" s="9">
        <v>44757</v>
      </c>
      <c r="C23" s="4">
        <v>7341</v>
      </c>
      <c r="D23" s="4">
        <v>1468.2</v>
      </c>
      <c r="E23" t="s">
        <v>26</v>
      </c>
    </row>
    <row r="24" spans="1:5">
      <c r="B24" s="10"/>
    </row>
    <row r="25" spans="1:5">
      <c r="B25" s="10"/>
    </row>
    <row r="26" spans="1:5">
      <c r="B26" s="10"/>
    </row>
  </sheetData>
  <mergeCells count="1">
    <mergeCell ref="G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7"/>
  <sheetViews>
    <sheetView showGridLines="0" zoomScale="137" zoomScaleNormal="137" workbookViewId="0">
      <selection activeCell="I4" sqref="I4"/>
    </sheetView>
  </sheetViews>
  <sheetFormatPr defaultColWidth="10.58203125" defaultRowHeight="15.5"/>
  <cols>
    <col min="4" max="4" width="11.58203125" customWidth="1"/>
    <col min="5" max="5" width="11.08203125" customWidth="1"/>
    <col min="6" max="6" width="15.5" customWidth="1"/>
    <col min="7" max="7" width="6.9140625" customWidth="1"/>
    <col min="9" max="9" width="12.4140625" customWidth="1"/>
    <col min="10" max="10" width="8.08203125" customWidth="1"/>
    <col min="11" max="11" width="28.6640625" customWidth="1"/>
  </cols>
  <sheetData>
    <row r="1" spans="1:11">
      <c r="A1" t="s">
        <v>31</v>
      </c>
    </row>
    <row r="2" spans="1:11">
      <c r="B2" s="1" t="s">
        <v>1</v>
      </c>
      <c r="C2" s="1" t="s">
        <v>2</v>
      </c>
      <c r="D2" s="1" t="s">
        <v>3</v>
      </c>
      <c r="E2" s="1" t="s">
        <v>4</v>
      </c>
      <c r="F2" s="1" t="s">
        <v>0</v>
      </c>
      <c r="H2" s="34" t="s">
        <v>28</v>
      </c>
      <c r="I2" s="34"/>
    </row>
    <row r="3" spans="1:11">
      <c r="B3" s="8">
        <v>124300</v>
      </c>
      <c r="C3" s="9">
        <v>44754</v>
      </c>
      <c r="D3" s="4">
        <v>5436.33</v>
      </c>
      <c r="E3" s="4">
        <f>D3*0.2</f>
        <v>1087.2660000000001</v>
      </c>
      <c r="F3" t="s">
        <v>5</v>
      </c>
      <c r="H3" s="11" t="s">
        <v>0</v>
      </c>
      <c r="I3" s="11" t="s">
        <v>4</v>
      </c>
    </row>
    <row r="4" spans="1:11">
      <c r="B4" s="8">
        <f>B3*1.2</f>
        <v>149160</v>
      </c>
      <c r="C4" s="9">
        <v>44751</v>
      </c>
      <c r="D4" s="4">
        <v>6197.4161999999997</v>
      </c>
      <c r="E4" s="4">
        <f t="shared" ref="E4:E24" si="0">D4*0.2</f>
        <v>1239.48324</v>
      </c>
      <c r="F4" t="s">
        <v>6</v>
      </c>
      <c r="H4" t="s">
        <v>6</v>
      </c>
    </row>
    <row r="5" spans="1:11">
      <c r="B5" s="8">
        <f>B4*1.02</f>
        <v>152143.20000000001</v>
      </c>
      <c r="C5" s="9">
        <v>44753</v>
      </c>
      <c r="D5" s="4">
        <v>7065.0544680000003</v>
      </c>
      <c r="E5" s="4">
        <f t="shared" si="0"/>
        <v>1413.0108935999999</v>
      </c>
      <c r="F5" t="s">
        <v>8</v>
      </c>
    </row>
    <row r="6" spans="1:11">
      <c r="B6" s="8">
        <f>B5*0.8</f>
        <v>121714.56</v>
      </c>
      <c r="C6" s="9">
        <v>44748</v>
      </c>
      <c r="D6" s="4">
        <v>8054.1620935199999</v>
      </c>
      <c r="E6" s="4">
        <f t="shared" si="0"/>
        <v>1610.832418704</v>
      </c>
      <c r="F6" t="s">
        <v>9</v>
      </c>
      <c r="H6" s="1" t="s">
        <v>29</v>
      </c>
      <c r="I6" s="1"/>
    </row>
    <row r="7" spans="1:11">
      <c r="B7" s="8">
        <f>B6*0.9</f>
        <v>109543.10400000001</v>
      </c>
      <c r="C7" s="9">
        <v>44752</v>
      </c>
      <c r="D7" s="4">
        <v>9181.7447866128005</v>
      </c>
      <c r="E7" s="4">
        <f t="shared" si="0"/>
        <v>1836.34895732256</v>
      </c>
      <c r="F7" t="s">
        <v>10</v>
      </c>
      <c r="H7" s="11" t="s">
        <v>0</v>
      </c>
      <c r="I7" s="11" t="s">
        <v>4</v>
      </c>
    </row>
    <row r="8" spans="1:11">
      <c r="B8" s="8">
        <f>B7*1.1</f>
        <v>120497.41439999999</v>
      </c>
      <c r="C8" s="9">
        <v>44755</v>
      </c>
      <c r="D8" s="4">
        <v>10467.1890567386</v>
      </c>
      <c r="E8" s="4">
        <f t="shared" si="0"/>
        <v>2093.4378113477201</v>
      </c>
      <c r="F8" t="s">
        <v>11</v>
      </c>
      <c r="H8" t="s">
        <v>32</v>
      </c>
      <c r="I8" t="str">
        <f>_xlfn.XLOOKUP(H8,F2:F24,E2:E24,"Not Found")</f>
        <v>Not Found</v>
      </c>
    </row>
    <row r="9" spans="1:11">
      <c r="B9" s="8">
        <f>B8*1.02</f>
        <v>122907.36268799999</v>
      </c>
      <c r="C9" s="9">
        <v>44757</v>
      </c>
      <c r="D9" s="4">
        <v>2446.3485000000001</v>
      </c>
      <c r="E9" s="4">
        <f t="shared" si="0"/>
        <v>489.2697</v>
      </c>
      <c r="F9" t="s">
        <v>13</v>
      </c>
      <c r="K9" t="s">
        <v>33</v>
      </c>
    </row>
    <row r="10" spans="1:11">
      <c r="B10" s="8">
        <f>B9*0.8</f>
        <v>98325.890150399995</v>
      </c>
      <c r="C10" s="9">
        <v>44754</v>
      </c>
      <c r="D10" s="4">
        <v>2690.98335</v>
      </c>
      <c r="E10" s="4">
        <f t="shared" si="0"/>
        <v>538.19667000000004</v>
      </c>
      <c r="F10" t="s">
        <v>15</v>
      </c>
    </row>
    <row r="11" spans="1:11">
      <c r="B11" s="8">
        <f>B10*0.9</f>
        <v>88493.301135360001</v>
      </c>
      <c r="C11" s="9">
        <v>44756</v>
      </c>
      <c r="D11" s="4">
        <v>2960.0816850000001</v>
      </c>
      <c r="E11" s="4">
        <f t="shared" si="0"/>
        <v>592.01633700000002</v>
      </c>
      <c r="F11" t="s">
        <v>16</v>
      </c>
    </row>
    <row r="12" spans="1:11">
      <c r="B12" s="8">
        <f>B11*1.1</f>
        <v>97342.631248895996</v>
      </c>
      <c r="C12" s="9">
        <v>44751</v>
      </c>
      <c r="D12" s="4">
        <v>3256.0898535000001</v>
      </c>
      <c r="E12" s="4">
        <f t="shared" si="0"/>
        <v>651.21797070000002</v>
      </c>
      <c r="F12" t="s">
        <v>17</v>
      </c>
    </row>
    <row r="13" spans="1:11">
      <c r="B13" s="8">
        <f>B12*1.02</f>
        <v>99289.483873874007</v>
      </c>
      <c r="C13" s="9">
        <v>44755</v>
      </c>
      <c r="D13" s="4">
        <v>3581.6988388499999</v>
      </c>
      <c r="E13" s="4">
        <f t="shared" si="0"/>
        <v>716.33976776999998</v>
      </c>
      <c r="F13" t="s">
        <v>18</v>
      </c>
    </row>
    <row r="14" spans="1:11">
      <c r="B14" s="8">
        <f>B13*0.8</f>
        <v>79431.587099099197</v>
      </c>
      <c r="C14" s="9">
        <v>44758</v>
      </c>
      <c r="D14" s="4">
        <v>3939.8687227350001</v>
      </c>
      <c r="E14" s="4">
        <f t="shared" si="0"/>
        <v>787.97374454700002</v>
      </c>
      <c r="F14" t="s">
        <v>19</v>
      </c>
    </row>
    <row r="15" spans="1:11">
      <c r="B15" s="8">
        <f>B14*0.9</f>
        <v>71488.428389189299</v>
      </c>
      <c r="C15" s="9">
        <v>44760</v>
      </c>
      <c r="D15" s="4">
        <v>4333.8555950085001</v>
      </c>
      <c r="E15" s="4">
        <f t="shared" si="0"/>
        <v>866.77111900169996</v>
      </c>
      <c r="F15" t="s">
        <v>7</v>
      </c>
    </row>
    <row r="16" spans="1:11">
      <c r="B16" s="8">
        <f>B15*1.1</f>
        <v>78637.271228108206</v>
      </c>
      <c r="C16" s="9">
        <v>44757</v>
      </c>
      <c r="D16" s="4">
        <v>4767.2411545093501</v>
      </c>
      <c r="E16" s="4">
        <f t="shared" si="0"/>
        <v>953.44823090187106</v>
      </c>
      <c r="F16" t="s">
        <v>20</v>
      </c>
    </row>
    <row r="17" spans="2:6">
      <c r="B17" s="8">
        <f>B16*1.02</f>
        <v>80210.016652670398</v>
      </c>
      <c r="C17" s="9">
        <v>44759</v>
      </c>
      <c r="D17" s="4">
        <v>5243.9652699602902</v>
      </c>
      <c r="E17" s="4">
        <f t="shared" si="0"/>
        <v>1048.7930539920601</v>
      </c>
      <c r="F17" t="s">
        <v>21</v>
      </c>
    </row>
    <row r="18" spans="2:6">
      <c r="B18" s="8">
        <f>B17*0.8</f>
        <v>64168.013322136299</v>
      </c>
      <c r="C18" s="9">
        <v>44754</v>
      </c>
      <c r="D18" s="4">
        <v>5768.3617969563202</v>
      </c>
      <c r="E18" s="4">
        <f t="shared" si="0"/>
        <v>1153.67235939126</v>
      </c>
      <c r="F18" t="s">
        <v>12</v>
      </c>
    </row>
    <row r="19" spans="2:6">
      <c r="B19" s="8">
        <f>B18*0.9</f>
        <v>57751.211989922696</v>
      </c>
      <c r="C19" s="9">
        <v>44758</v>
      </c>
      <c r="D19" s="4">
        <v>5191.5256172606896</v>
      </c>
      <c r="E19" s="4">
        <f t="shared" si="0"/>
        <v>1038.3051234521399</v>
      </c>
      <c r="F19" t="s">
        <v>22</v>
      </c>
    </row>
    <row r="20" spans="2:6">
      <c r="B20" s="8">
        <f>B19*1.1</f>
        <v>63526.333188914898</v>
      </c>
      <c r="C20" s="9">
        <v>44761</v>
      </c>
      <c r="D20" s="4">
        <v>6748.98330243889</v>
      </c>
      <c r="E20" s="4">
        <f t="shared" si="0"/>
        <v>1349.7966604877799</v>
      </c>
      <c r="F20" t="s">
        <v>23</v>
      </c>
    </row>
    <row r="21" spans="2:6">
      <c r="B21" s="8">
        <f>B20*1.02</f>
        <v>64796.859852693196</v>
      </c>
      <c r="C21" s="9">
        <v>44763</v>
      </c>
      <c r="D21" s="4">
        <v>8773.6782931705602</v>
      </c>
      <c r="E21" s="4">
        <f t="shared" si="0"/>
        <v>1754.73565863411</v>
      </c>
      <c r="F21" t="s">
        <v>14</v>
      </c>
    </row>
    <row r="22" spans="2:6">
      <c r="B22" s="8">
        <f>B21*0.8</f>
        <v>51837.487882154601</v>
      </c>
      <c r="C22" s="9">
        <v>44760</v>
      </c>
      <c r="D22" s="4">
        <v>11405.781781121699</v>
      </c>
      <c r="E22" s="4">
        <f t="shared" si="0"/>
        <v>2281.15635622435</v>
      </c>
      <c r="F22" t="s">
        <v>24</v>
      </c>
    </row>
    <row r="23" spans="2:6">
      <c r="B23" s="8">
        <f>B22*0.9</f>
        <v>46653.739093939097</v>
      </c>
      <c r="C23" s="9">
        <v>44762</v>
      </c>
      <c r="D23" s="4">
        <v>6650</v>
      </c>
      <c r="E23" s="4">
        <f t="shared" si="0"/>
        <v>1330</v>
      </c>
      <c r="F23" t="s">
        <v>25</v>
      </c>
    </row>
    <row r="24" spans="2:6">
      <c r="B24" s="8">
        <f>B23*1.1</f>
        <v>51319.113003332997</v>
      </c>
      <c r="C24" s="9">
        <v>44757</v>
      </c>
      <c r="D24" s="4">
        <v>7341</v>
      </c>
      <c r="E24" s="4">
        <f t="shared" si="0"/>
        <v>1468.2</v>
      </c>
      <c r="F24" t="s">
        <v>26</v>
      </c>
    </row>
    <row r="25" spans="2:6">
      <c r="C25" s="10"/>
    </row>
    <row r="26" spans="2:6">
      <c r="C26" s="10"/>
    </row>
    <row r="27" spans="2:6">
      <c r="C27" s="10"/>
    </row>
  </sheetData>
  <mergeCells count="1">
    <mergeCell ref="H2:I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"/>
  <sheetViews>
    <sheetView showGridLines="0" zoomScale="108" zoomScaleNormal="108" workbookViewId="0">
      <selection activeCell="A8" sqref="A8"/>
    </sheetView>
  </sheetViews>
  <sheetFormatPr defaultColWidth="10.58203125" defaultRowHeight="15.5"/>
  <cols>
    <col min="1" max="1" width="15.5" customWidth="1"/>
    <col min="4" max="4" width="11.58203125" customWidth="1"/>
    <col min="5" max="5" width="11.08203125" customWidth="1"/>
    <col min="6" max="6" width="6.9140625" customWidth="1"/>
    <col min="7" max="7" width="11.6640625" customWidth="1"/>
    <col min="8" max="8" width="12.4140625" customWidth="1"/>
    <col min="9" max="9" width="11.082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0</v>
      </c>
      <c r="H1" s="1" t="s">
        <v>3</v>
      </c>
      <c r="I1" s="1" t="s">
        <v>4</v>
      </c>
    </row>
    <row r="2" spans="1:9">
      <c r="A2" t="s">
        <v>5</v>
      </c>
      <c r="B2" s="8">
        <v>124300</v>
      </c>
      <c r="C2" s="9">
        <v>44754</v>
      </c>
      <c r="D2" s="4">
        <v>5436.33</v>
      </c>
      <c r="E2" s="4">
        <f>D2*0.2</f>
        <v>1087.2660000000001</v>
      </c>
      <c r="G2" t="s">
        <v>13</v>
      </c>
      <c r="H2" cm="1">
        <f t="array" ref="H2:I2">_xlfn.XLOOKUP(G2,A1:A23,D1:E23)</f>
        <v>2446.3485000000001</v>
      </c>
      <c r="I2">
        <v>489.2697</v>
      </c>
    </row>
    <row r="3" spans="1:9">
      <c r="A3" t="s">
        <v>6</v>
      </c>
      <c r="B3" s="8">
        <f>B2*1.2</f>
        <v>149160</v>
      </c>
      <c r="C3" s="9">
        <v>44751</v>
      </c>
      <c r="D3" s="4">
        <v>6197.4161999999997</v>
      </c>
      <c r="E3" s="4">
        <f t="shared" ref="E3:E23" si="0">D3*0.2</f>
        <v>1239.48324</v>
      </c>
    </row>
    <row r="4" spans="1:9">
      <c r="A4" t="s">
        <v>8</v>
      </c>
      <c r="B4" s="8">
        <f>B3*1.02</f>
        <v>152143.20000000001</v>
      </c>
      <c r="C4" s="9">
        <v>44753</v>
      </c>
      <c r="D4" s="4">
        <v>7065.0544680000003</v>
      </c>
      <c r="E4" s="4">
        <f t="shared" si="0"/>
        <v>1413.0108935999999</v>
      </c>
    </row>
    <row r="5" spans="1:9">
      <c r="A5" t="s">
        <v>9</v>
      </c>
      <c r="B5" s="8">
        <f>B4*0.8</f>
        <v>121714.56</v>
      </c>
      <c r="C5" s="9">
        <v>44748</v>
      </c>
      <c r="D5" s="4">
        <v>8054.1620935199999</v>
      </c>
      <c r="E5" s="4">
        <f t="shared" si="0"/>
        <v>1610.832418704</v>
      </c>
    </row>
    <row r="6" spans="1:9">
      <c r="A6" t="s">
        <v>10</v>
      </c>
      <c r="B6" s="8">
        <f>B5*0.9</f>
        <v>109543.10400000001</v>
      </c>
      <c r="C6" s="9">
        <v>44752</v>
      </c>
      <c r="D6" s="4">
        <v>9181.7447866128005</v>
      </c>
      <c r="E6" s="4">
        <f t="shared" si="0"/>
        <v>1836.34895732256</v>
      </c>
    </row>
    <row r="7" spans="1:9">
      <c r="A7" t="s">
        <v>11</v>
      </c>
      <c r="B7" s="8">
        <f>B6*1.1</f>
        <v>120497.41439999999</v>
      </c>
      <c r="C7" s="9">
        <v>44755</v>
      </c>
      <c r="D7" s="4">
        <v>10467.1890567386</v>
      </c>
      <c r="E7" s="4">
        <f t="shared" si="0"/>
        <v>2093.4378113477201</v>
      </c>
    </row>
    <row r="8" spans="1:9">
      <c r="A8" t="s">
        <v>13</v>
      </c>
      <c r="B8" s="8">
        <f>B7*1.02</f>
        <v>122907.36268799999</v>
      </c>
      <c r="C8" s="9">
        <v>44757</v>
      </c>
      <c r="D8" s="4">
        <v>2446.3485000000001</v>
      </c>
      <c r="E8" s="4">
        <f t="shared" si="0"/>
        <v>489.2697</v>
      </c>
    </row>
    <row r="9" spans="1:9">
      <c r="A9" t="s">
        <v>15</v>
      </c>
      <c r="B9" s="8">
        <f>B8*0.8</f>
        <v>98325.890150399995</v>
      </c>
      <c r="C9" s="9">
        <v>44754</v>
      </c>
      <c r="D9" s="4">
        <v>2690.98335</v>
      </c>
      <c r="E9" s="4">
        <f t="shared" si="0"/>
        <v>538.19667000000004</v>
      </c>
    </row>
    <row r="10" spans="1:9">
      <c r="A10" t="s">
        <v>16</v>
      </c>
      <c r="B10" s="8">
        <f>B9*0.9</f>
        <v>88493.301135360001</v>
      </c>
      <c r="C10" s="9">
        <v>44756</v>
      </c>
      <c r="D10" s="4">
        <v>2960.0816850000001</v>
      </c>
      <c r="E10" s="4">
        <f t="shared" si="0"/>
        <v>592.01633700000002</v>
      </c>
    </row>
    <row r="11" spans="1:9">
      <c r="A11" t="s">
        <v>17</v>
      </c>
      <c r="B11" s="8">
        <f>B10*1.1</f>
        <v>97342.631248895996</v>
      </c>
      <c r="C11" s="9">
        <v>44751</v>
      </c>
      <c r="D11" s="4">
        <v>3256.0898535000001</v>
      </c>
      <c r="E11" s="4">
        <f t="shared" si="0"/>
        <v>651.21797070000002</v>
      </c>
    </row>
    <row r="12" spans="1:9">
      <c r="A12" t="s">
        <v>18</v>
      </c>
      <c r="B12" s="8">
        <f>B11*1.02</f>
        <v>99289.483873874007</v>
      </c>
      <c r="C12" s="9">
        <v>44755</v>
      </c>
      <c r="D12" s="4">
        <v>3581.6988388499999</v>
      </c>
      <c r="E12" s="4">
        <f t="shared" si="0"/>
        <v>716.33976776999998</v>
      </c>
    </row>
    <row r="13" spans="1:9">
      <c r="A13" t="s">
        <v>19</v>
      </c>
      <c r="B13" s="8">
        <f>B12*0.8</f>
        <v>79431.587099099197</v>
      </c>
      <c r="C13" s="9">
        <v>44758</v>
      </c>
      <c r="D13" s="4">
        <v>3939.8687227350001</v>
      </c>
      <c r="E13" s="4">
        <f t="shared" si="0"/>
        <v>787.97374454700002</v>
      </c>
    </row>
    <row r="14" spans="1:9">
      <c r="A14" t="s">
        <v>7</v>
      </c>
      <c r="B14" s="8">
        <f>B13*0.9</f>
        <v>71488.428389189299</v>
      </c>
      <c r="C14" s="9">
        <v>44760</v>
      </c>
      <c r="D14" s="4">
        <v>4333.8555950085001</v>
      </c>
      <c r="E14" s="4">
        <f t="shared" si="0"/>
        <v>866.77111900169996</v>
      </c>
    </row>
    <row r="15" spans="1:9">
      <c r="A15" t="s">
        <v>20</v>
      </c>
      <c r="B15" s="8">
        <f>B14*1.1</f>
        <v>78637.271228108206</v>
      </c>
      <c r="C15" s="9">
        <v>44757</v>
      </c>
      <c r="D15" s="4">
        <v>4767.2411545093501</v>
      </c>
      <c r="E15" s="4">
        <f t="shared" si="0"/>
        <v>953.44823090187003</v>
      </c>
    </row>
    <row r="16" spans="1:9">
      <c r="A16" t="s">
        <v>21</v>
      </c>
      <c r="B16" s="8">
        <f>B15*1.02</f>
        <v>80210.016652670398</v>
      </c>
      <c r="C16" s="9">
        <v>44759</v>
      </c>
      <c r="D16" s="4">
        <v>5243.9652699602902</v>
      </c>
      <c r="E16" s="4">
        <f t="shared" si="0"/>
        <v>1048.7930539920601</v>
      </c>
    </row>
    <row r="17" spans="1:5">
      <c r="A17" t="s">
        <v>12</v>
      </c>
      <c r="B17" s="8">
        <f>B16*0.8</f>
        <v>64168.013322136299</v>
      </c>
      <c r="C17" s="9">
        <v>44754</v>
      </c>
      <c r="D17" s="4">
        <v>5768.3617969563202</v>
      </c>
      <c r="E17" s="4">
        <f t="shared" si="0"/>
        <v>1153.67235939126</v>
      </c>
    </row>
    <row r="18" spans="1:5">
      <c r="A18" t="s">
        <v>22</v>
      </c>
      <c r="B18" s="8">
        <f>B17*0.9</f>
        <v>57751.211989922696</v>
      </c>
      <c r="C18" s="9">
        <v>44758</v>
      </c>
      <c r="D18" s="4">
        <v>5191.5256172606896</v>
      </c>
      <c r="E18" s="4">
        <f t="shared" si="0"/>
        <v>1038.3051234521399</v>
      </c>
    </row>
    <row r="19" spans="1:5">
      <c r="A19" t="s">
        <v>23</v>
      </c>
      <c r="B19" s="8">
        <f>B18*1.1</f>
        <v>63526.333188914898</v>
      </c>
      <c r="C19" s="9">
        <v>44761</v>
      </c>
      <c r="D19" s="4">
        <v>6748.98330243889</v>
      </c>
      <c r="E19" s="4">
        <f t="shared" si="0"/>
        <v>1349.7966604877799</v>
      </c>
    </row>
    <row r="20" spans="1:5">
      <c r="A20" t="s">
        <v>14</v>
      </c>
      <c r="B20" s="8">
        <f>B19*1.02</f>
        <v>64796.859852693196</v>
      </c>
      <c r="C20" s="9">
        <v>44763</v>
      </c>
      <c r="D20" s="4">
        <v>8773.6782931705602</v>
      </c>
      <c r="E20" s="4">
        <f t="shared" si="0"/>
        <v>1754.73565863411</v>
      </c>
    </row>
    <row r="21" spans="1:5">
      <c r="A21" t="s">
        <v>24</v>
      </c>
      <c r="B21" s="8">
        <f>B20*0.8</f>
        <v>51837.487882154601</v>
      </c>
      <c r="C21" s="9">
        <v>44760</v>
      </c>
      <c r="D21" s="4">
        <v>11405.781781121699</v>
      </c>
      <c r="E21" s="4">
        <f t="shared" si="0"/>
        <v>2281.15635622434</v>
      </c>
    </row>
    <row r="22" spans="1:5">
      <c r="A22" t="s">
        <v>25</v>
      </c>
      <c r="B22" s="8">
        <f>B21*0.9</f>
        <v>46653.739093939097</v>
      </c>
      <c r="C22" s="9">
        <v>44762</v>
      </c>
      <c r="D22" s="4">
        <v>6650</v>
      </c>
      <c r="E22" s="4">
        <f t="shared" si="0"/>
        <v>1330</v>
      </c>
    </row>
    <row r="23" spans="1:5">
      <c r="A23" t="s">
        <v>26</v>
      </c>
      <c r="B23" s="8">
        <f>B22*1.1</f>
        <v>51319.113003332997</v>
      </c>
      <c r="C23" s="9">
        <v>44757</v>
      </c>
      <c r="D23" s="4">
        <v>7341</v>
      </c>
      <c r="E23" s="4">
        <f t="shared" si="0"/>
        <v>1468.2</v>
      </c>
    </row>
    <row r="24" spans="1:5">
      <c r="C24" s="10"/>
    </row>
    <row r="25" spans="1:5">
      <c r="C25" s="10"/>
    </row>
    <row r="26" spans="1:5">
      <c r="C26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3"/>
  <sheetViews>
    <sheetView showGridLines="0" tabSelected="1" zoomScale="98" zoomScaleNormal="98" workbookViewId="0">
      <selection activeCell="G16" sqref="G16"/>
    </sheetView>
  </sheetViews>
  <sheetFormatPr defaultColWidth="10.58203125" defaultRowHeight="15.5"/>
  <cols>
    <col min="1" max="1" width="17.08203125" customWidth="1"/>
    <col min="3" max="3" width="10.6640625"/>
    <col min="4" max="4" width="11.58203125" customWidth="1"/>
    <col min="5" max="5" width="11.08203125" customWidth="1"/>
    <col min="6" max="6" width="6.9140625" customWidth="1"/>
    <col min="8" max="8" width="19.6640625" customWidth="1"/>
  </cols>
  <sheetData>
    <row r="1" spans="1:10">
      <c r="A1" s="1" t="s">
        <v>34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>
      <c r="A2" s="7" t="s">
        <v>36</v>
      </c>
      <c r="B2" s="8">
        <v>124300</v>
      </c>
      <c r="C2" s="9">
        <v>44754</v>
      </c>
      <c r="D2" s="4">
        <v>5436.33</v>
      </c>
      <c r="E2" s="4">
        <f>D2*0.2</f>
        <v>1087.2660000000001</v>
      </c>
    </row>
    <row r="3" spans="1:10">
      <c r="A3" s="7" t="s">
        <v>38</v>
      </c>
      <c r="B3" s="8">
        <f>B2*1.2</f>
        <v>149160</v>
      </c>
      <c r="C3" s="9">
        <v>44751</v>
      </c>
      <c r="D3" s="4">
        <v>6197.4161999999997</v>
      </c>
      <c r="E3" s="4">
        <f t="shared" ref="E3:E13" si="0">D3*0.2</f>
        <v>1239.48324</v>
      </c>
      <c r="J3" t="s">
        <v>40</v>
      </c>
    </row>
    <row r="4" spans="1:10">
      <c r="A4" s="7" t="s">
        <v>41</v>
      </c>
      <c r="B4" s="8">
        <f>B3*1.02</f>
        <v>152143.20000000001</v>
      </c>
      <c r="C4" s="9">
        <v>44753</v>
      </c>
      <c r="D4" s="4">
        <v>7065.0544680000003</v>
      </c>
      <c r="E4" s="4">
        <f t="shared" si="0"/>
        <v>1413.0108936000001</v>
      </c>
      <c r="J4" t="s">
        <v>43</v>
      </c>
    </row>
    <row r="5" spans="1:10">
      <c r="A5" s="7" t="s">
        <v>44</v>
      </c>
      <c r="B5" s="8">
        <f>B4*0.8</f>
        <v>121714.56000000001</v>
      </c>
      <c r="C5" s="9">
        <v>44748</v>
      </c>
      <c r="D5" s="4">
        <v>8054.1620935199999</v>
      </c>
      <c r="E5" s="4">
        <f t="shared" si="0"/>
        <v>1610.832418704</v>
      </c>
    </row>
    <row r="6" spans="1:10" ht="26">
      <c r="A6" s="7" t="s">
        <v>45</v>
      </c>
      <c r="B6" s="8">
        <f>B5*0.9</f>
        <v>109543.10400000001</v>
      </c>
      <c r="C6" s="9">
        <v>44752</v>
      </c>
      <c r="D6" s="4">
        <v>9181.7447866128005</v>
      </c>
      <c r="E6" s="4">
        <f t="shared" si="0"/>
        <v>1836.3489573225602</v>
      </c>
      <c r="G6" s="40" t="s">
        <v>72</v>
      </c>
    </row>
    <row r="7" spans="1:10">
      <c r="A7" s="7" t="s">
        <v>46</v>
      </c>
      <c r="B7" s="8">
        <f>B6*1.1</f>
        <v>120497.41440000002</v>
      </c>
      <c r="C7" s="9">
        <v>44755</v>
      </c>
      <c r="D7" s="4">
        <v>10467.1890567386</v>
      </c>
      <c r="E7" s="4">
        <f t="shared" si="0"/>
        <v>2093.4378113477201</v>
      </c>
      <c r="G7" s="1" t="s">
        <v>35</v>
      </c>
      <c r="H7" s="1" t="s">
        <v>3</v>
      </c>
    </row>
    <row r="8" spans="1:10">
      <c r="A8" s="7" t="s">
        <v>47</v>
      </c>
      <c r="B8" s="8">
        <f>B7*1.02</f>
        <v>122907.36268800002</v>
      </c>
      <c r="C8" s="9">
        <v>44757</v>
      </c>
      <c r="D8" s="4">
        <v>2446.3485000000001</v>
      </c>
      <c r="E8" s="4">
        <f t="shared" si="0"/>
        <v>489.26970000000006</v>
      </c>
      <c r="G8" s="36" t="s">
        <v>37</v>
      </c>
      <c r="H8" s="37">
        <f>_xlfn.XLOOKUP(G8&amp;"*",A1:A13,D1:D13,,2)</f>
        <v>6197.4161999999997</v>
      </c>
    </row>
    <row r="9" spans="1:10">
      <c r="A9" s="7" t="s">
        <v>48</v>
      </c>
      <c r="B9" s="8">
        <f>B8*0.8</f>
        <v>98325.890150400024</v>
      </c>
      <c r="C9" s="9">
        <v>44754</v>
      </c>
      <c r="D9" s="4">
        <v>2690.98335</v>
      </c>
      <c r="E9" s="4">
        <f t="shared" si="0"/>
        <v>538.19667000000004</v>
      </c>
      <c r="G9" s="36" t="s">
        <v>39</v>
      </c>
      <c r="H9" s="38">
        <f>_xlfn.XLOOKUP(G9&amp;"*",A1:A13,D1:D13,,2,-1)</f>
        <v>5436.33</v>
      </c>
      <c r="I9" s="19" t="s">
        <v>75</v>
      </c>
    </row>
    <row r="10" spans="1:10">
      <c r="A10" s="7" t="s">
        <v>49</v>
      </c>
      <c r="B10" s="8">
        <f>B9*0.9</f>
        <v>88493.30113536003</v>
      </c>
      <c r="C10" s="9">
        <v>44756</v>
      </c>
      <c r="D10" s="4">
        <v>2960.0816850000001</v>
      </c>
      <c r="E10" s="4">
        <f t="shared" si="0"/>
        <v>592.01633700000002</v>
      </c>
      <c r="G10" s="38" t="s">
        <v>42</v>
      </c>
      <c r="H10" s="39">
        <f>_xlfn.XLOOKUP(G10&amp;"*",A2:A13,D2:D13,,2)</f>
        <v>3581.6988388499999</v>
      </c>
    </row>
    <row r="11" spans="1:10">
      <c r="A11" s="7" t="s">
        <v>50</v>
      </c>
      <c r="B11" s="8">
        <f>B10*1.1</f>
        <v>97342.631248896039</v>
      </c>
      <c r="C11" s="9">
        <v>44751</v>
      </c>
      <c r="D11" s="4">
        <v>3256.0898535000001</v>
      </c>
      <c r="E11" s="4">
        <f t="shared" si="0"/>
        <v>651.21797070000002</v>
      </c>
      <c r="G11" s="38" t="s">
        <v>71</v>
      </c>
      <c r="H11" s="27">
        <f>_xlfn.XLOOKUP("*"&amp;G11,A2:A13,D2:D13,,2)</f>
        <v>2690.98335</v>
      </c>
    </row>
    <row r="12" spans="1:10">
      <c r="A12" s="7" t="s">
        <v>51</v>
      </c>
      <c r="B12" s="8">
        <f>B11*1.02</f>
        <v>99289.483873873964</v>
      </c>
      <c r="C12" s="9">
        <v>44755</v>
      </c>
      <c r="D12" s="4">
        <v>3581.6988388499999</v>
      </c>
      <c r="E12" s="4">
        <f t="shared" si="0"/>
        <v>716.33976776999998</v>
      </c>
      <c r="G12" s="41" t="s">
        <v>73</v>
      </c>
      <c r="H12" s="42">
        <f>_xlfn.XLOOKUP("*"&amp;G12,A2:A13,D2:D13,,2)</f>
        <v>9181.7447866128005</v>
      </c>
    </row>
    <row r="13" spans="1:10">
      <c r="A13" s="7" t="s">
        <v>52</v>
      </c>
      <c r="B13" s="8">
        <f>B12*0.8</f>
        <v>79431.587099099183</v>
      </c>
      <c r="C13" s="9">
        <v>44758</v>
      </c>
      <c r="D13" s="4">
        <v>3939.8687227350001</v>
      </c>
      <c r="E13" s="4">
        <f t="shared" si="0"/>
        <v>787.97374454700002</v>
      </c>
      <c r="G13" s="41" t="s">
        <v>74</v>
      </c>
      <c r="H13" s="42">
        <f>_xlfn.XLOOKUP("*"&amp;G13&amp;"*",A2:A13,D2:D13,,2)</f>
        <v>3256.0898535000001</v>
      </c>
    </row>
    <row r="14" spans="1:10">
      <c r="A14" s="7"/>
      <c r="B14" s="4"/>
      <c r="C14" s="4"/>
      <c r="D14" s="4"/>
      <c r="E14" s="4"/>
      <c r="G14" s="19" t="s">
        <v>76</v>
      </c>
      <c r="H14" s="35">
        <f>_xlfn.XLOOKUP("*"&amp;G14,A2:A13,D2:D13,,2,-1)</f>
        <v>6197.4161999999997</v>
      </c>
      <c r="I14" s="19" t="s">
        <v>77</v>
      </c>
    </row>
    <row r="15" spans="1:10">
      <c r="A15" s="7"/>
      <c r="B15" s="4"/>
      <c r="C15" s="4"/>
      <c r="D15" s="4"/>
      <c r="E15" s="4"/>
      <c r="H15" s="21">
        <f>_xlfn.XLOOKUP("*"&amp;G9,A2:A13,D2:D13,,2,)</f>
        <v>10467.1890567386</v>
      </c>
    </row>
    <row r="16" spans="1:10">
      <c r="A16" s="7"/>
      <c r="B16" s="4"/>
      <c r="C16" s="4"/>
      <c r="D16" s="4"/>
      <c r="E16" s="4"/>
    </row>
    <row r="17" spans="1:8">
      <c r="A17" s="7"/>
      <c r="B17" s="4"/>
      <c r="C17" s="4"/>
      <c r="D17" s="4"/>
      <c r="E17" s="4"/>
      <c r="G17" s="19"/>
      <c r="H17" s="13"/>
    </row>
    <row r="18" spans="1:8">
      <c r="A18" s="7"/>
      <c r="B18" s="4"/>
      <c r="C18" s="4"/>
      <c r="D18" s="4"/>
      <c r="E18" s="4"/>
    </row>
    <row r="19" spans="1:8">
      <c r="A19" s="7"/>
      <c r="B19" s="4"/>
      <c r="C19" s="4"/>
      <c r="D19" s="4"/>
      <c r="E19" s="4"/>
    </row>
    <row r="20" spans="1:8">
      <c r="A20" s="7"/>
      <c r="B20" s="4"/>
      <c r="C20" s="4"/>
      <c r="D20" s="4"/>
      <c r="E20" s="4"/>
    </row>
    <row r="21" spans="1:8">
      <c r="A21" s="7"/>
      <c r="B21" s="4"/>
      <c r="C21" s="4"/>
      <c r="D21" s="4"/>
      <c r="E21" s="4"/>
    </row>
    <row r="22" spans="1:8">
      <c r="A22" s="7"/>
      <c r="B22" s="4"/>
      <c r="C22" s="4"/>
      <c r="D22" s="4"/>
      <c r="E22" s="4"/>
    </row>
    <row r="23" spans="1:8">
      <c r="A23" s="7"/>
      <c r="B23" s="4"/>
      <c r="C23" s="4"/>
      <c r="D23" s="4"/>
      <c r="E23" s="4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5"/>
  <sheetViews>
    <sheetView showGridLines="0" workbookViewId="0">
      <selection activeCell="J3" sqref="J3"/>
    </sheetView>
  </sheetViews>
  <sheetFormatPr defaultColWidth="10.58203125" defaultRowHeight="15.5"/>
  <cols>
    <col min="2" max="2" width="15.5" customWidth="1"/>
    <col min="5" max="5" width="11.58203125" customWidth="1"/>
    <col min="6" max="6" width="11.08203125" customWidth="1"/>
    <col min="7" max="7" width="6.9140625" customWidth="1"/>
    <col min="9" max="9" width="12.4140625" customWidth="1"/>
    <col min="10" max="10" width="11.08203125" customWidth="1"/>
  </cols>
  <sheetData>
    <row r="1" spans="1:10">
      <c r="A1" t="s">
        <v>31</v>
      </c>
    </row>
    <row r="2" spans="1:10">
      <c r="B2" s="34" t="s">
        <v>53</v>
      </c>
      <c r="C2" s="34"/>
      <c r="D2" s="34"/>
      <c r="E2" s="34"/>
      <c r="F2" s="34"/>
      <c r="H2" s="1" t="s">
        <v>0</v>
      </c>
      <c r="I2" s="1" t="s">
        <v>54</v>
      </c>
      <c r="J2" s="1" t="s">
        <v>4</v>
      </c>
    </row>
    <row r="3" spans="1:10">
      <c r="B3" s="2" t="s">
        <v>55</v>
      </c>
      <c r="C3" s="3">
        <v>2019</v>
      </c>
      <c r="D3" s="3">
        <v>2020</v>
      </c>
      <c r="E3" s="3">
        <f>D3+1</f>
        <v>2021</v>
      </c>
      <c r="F3" s="3">
        <f t="shared" ref="F3" si="0">E3+1</f>
        <v>2022</v>
      </c>
      <c r="H3" s="5" t="s">
        <v>6</v>
      </c>
      <c r="I3" s="5">
        <v>2020</v>
      </c>
      <c r="J3" s="4"/>
    </row>
    <row r="4" spans="1:10">
      <c r="B4" s="7" t="s">
        <v>5</v>
      </c>
      <c r="C4" s="4">
        <v>1087.2660000000001</v>
      </c>
      <c r="D4" s="4">
        <v>1250.3559</v>
      </c>
      <c r="E4" s="4">
        <v>1187.838105</v>
      </c>
      <c r="F4" s="4">
        <v>1413.52734495</v>
      </c>
    </row>
    <row r="5" spans="1:10">
      <c r="B5" s="7" t="s">
        <v>6</v>
      </c>
      <c r="C5" s="4">
        <v>1239.48324</v>
      </c>
      <c r="D5" s="4">
        <v>1425.405726</v>
      </c>
      <c r="E5" s="4">
        <v>1354.1354397</v>
      </c>
      <c r="F5" s="4">
        <v>1611.4211732430001</v>
      </c>
    </row>
    <row r="6" spans="1:10">
      <c r="B6" s="7" t="s">
        <v>8</v>
      </c>
      <c r="C6" s="4">
        <v>1413.0108935999999</v>
      </c>
      <c r="D6" s="4">
        <v>1624.96252764</v>
      </c>
      <c r="E6" s="4">
        <v>1543.714401258</v>
      </c>
      <c r="F6" s="4">
        <v>1837.02013749702</v>
      </c>
    </row>
    <row r="7" spans="1:10">
      <c r="B7" s="7" t="s">
        <v>9</v>
      </c>
      <c r="C7" s="4">
        <v>1610.832418704</v>
      </c>
      <c r="D7" s="4">
        <v>1852.4572815096001</v>
      </c>
      <c r="E7" s="4">
        <v>1759.83441743412</v>
      </c>
      <c r="F7" s="4">
        <v>2094.2029567466002</v>
      </c>
    </row>
    <row r="8" spans="1:10">
      <c r="B8" s="7" t="s">
        <v>10</v>
      </c>
      <c r="C8" s="4">
        <v>1836.34895732256</v>
      </c>
      <c r="D8" s="4">
        <v>2111.8013009209399</v>
      </c>
      <c r="E8" s="4">
        <v>2006.2112358749</v>
      </c>
      <c r="F8" s="4">
        <v>2387.3913706911299</v>
      </c>
    </row>
    <row r="9" spans="1:10">
      <c r="B9" s="7" t="s">
        <v>11</v>
      </c>
      <c r="C9" s="4">
        <v>2093.4378113477201</v>
      </c>
      <c r="D9" s="4">
        <v>2407.4534830498701</v>
      </c>
      <c r="E9" s="4">
        <v>2287.0808088973799</v>
      </c>
      <c r="F9" s="4">
        <v>2721.6261625878801</v>
      </c>
    </row>
    <row r="10" spans="1:10">
      <c r="B10" s="7" t="s">
        <v>13</v>
      </c>
      <c r="C10" s="4">
        <v>489.2697</v>
      </c>
      <c r="D10" s="4">
        <v>562.66015500000003</v>
      </c>
      <c r="E10" s="4">
        <v>534.52714724999998</v>
      </c>
      <c r="F10" s="4">
        <v>636.0873052275</v>
      </c>
    </row>
    <row r="11" spans="1:10">
      <c r="B11" s="7" t="s">
        <v>15</v>
      </c>
      <c r="C11" s="4">
        <v>538.19667000000004</v>
      </c>
      <c r="D11" s="4">
        <v>618.92617050000001</v>
      </c>
      <c r="E11" s="4">
        <v>587.97986197499995</v>
      </c>
      <c r="F11" s="4">
        <v>699.69603575024996</v>
      </c>
    </row>
    <row r="12" spans="1:10">
      <c r="B12" s="7" t="s">
        <v>16</v>
      </c>
      <c r="C12" s="4">
        <v>592.01633700000002</v>
      </c>
      <c r="D12" s="4">
        <v>680.81878755000002</v>
      </c>
      <c r="E12" s="4">
        <v>646.77784817249994</v>
      </c>
      <c r="F12" s="4">
        <v>769.66563932527504</v>
      </c>
    </row>
    <row r="13" spans="1:10">
      <c r="B13" s="7" t="s">
        <v>17</v>
      </c>
      <c r="C13" s="4">
        <v>651.21797070000002</v>
      </c>
      <c r="D13" s="4">
        <v>748.90066630499996</v>
      </c>
      <c r="E13" s="4">
        <v>711.45563298975003</v>
      </c>
      <c r="F13" s="4">
        <v>846.63220325780196</v>
      </c>
    </row>
    <row r="14" spans="1:10">
      <c r="B14" s="7" t="s">
        <v>18</v>
      </c>
      <c r="C14" s="4">
        <v>716.33976776999998</v>
      </c>
      <c r="D14" s="4">
        <v>823.79073293550005</v>
      </c>
      <c r="E14" s="4">
        <v>782.60119628872496</v>
      </c>
      <c r="F14" s="4">
        <v>931.29542358358299</v>
      </c>
    </row>
    <row r="15" spans="1:10">
      <c r="B15" s="7" t="s">
        <v>19</v>
      </c>
      <c r="C15" s="4">
        <v>787.97374454700002</v>
      </c>
      <c r="D15" s="4">
        <v>906.16980622904998</v>
      </c>
      <c r="E15" s="4">
        <v>860.86131591759795</v>
      </c>
      <c r="F15" s="4">
        <v>1024.4249659419399</v>
      </c>
    </row>
    <row r="16" spans="1:10">
      <c r="B16" s="7" t="s">
        <v>7</v>
      </c>
      <c r="C16" s="4">
        <v>866.77111900169996</v>
      </c>
      <c r="D16" s="4">
        <v>996.78678685195496</v>
      </c>
      <c r="E16" s="4">
        <v>946.94744750935797</v>
      </c>
      <c r="F16" s="4">
        <v>1126.86746253614</v>
      </c>
    </row>
    <row r="17" spans="2:6">
      <c r="B17" s="7" t="s">
        <v>20</v>
      </c>
      <c r="C17" s="4">
        <v>953.44823090187106</v>
      </c>
      <c r="D17" s="4">
        <v>1096.4654655371501</v>
      </c>
      <c r="E17" s="4">
        <v>1041.6421922602899</v>
      </c>
      <c r="F17" s="4">
        <v>1239.55420878975</v>
      </c>
    </row>
    <row r="18" spans="2:6">
      <c r="B18" s="7" t="s">
        <v>21</v>
      </c>
      <c r="C18" s="4">
        <v>1048.7930539920601</v>
      </c>
      <c r="D18" s="4">
        <v>1206.1120120908699</v>
      </c>
      <c r="E18" s="4">
        <v>1145.80641148632</v>
      </c>
      <c r="F18" s="4">
        <v>1363.50962966872</v>
      </c>
    </row>
    <row r="19" spans="2:6">
      <c r="B19" s="7" t="s">
        <v>12</v>
      </c>
      <c r="C19" s="4">
        <v>1153.67235939126</v>
      </c>
      <c r="D19" s="4">
        <v>1326.72321329995</v>
      </c>
      <c r="E19" s="4">
        <v>1260.3870526349599</v>
      </c>
      <c r="F19" s="4">
        <v>1499.8605926355999</v>
      </c>
    </row>
    <row r="20" spans="2:6">
      <c r="B20" s="7" t="s">
        <v>22</v>
      </c>
      <c r="C20" s="4">
        <v>1038.3051234521399</v>
      </c>
      <c r="D20" s="4">
        <v>1194.05089196996</v>
      </c>
      <c r="E20" s="4">
        <v>1134.34834737146</v>
      </c>
      <c r="F20" s="4">
        <v>1349.8745333720401</v>
      </c>
    </row>
    <row r="21" spans="2:6">
      <c r="B21" s="7" t="s">
        <v>23</v>
      </c>
      <c r="C21" s="4">
        <v>1349.7966604877799</v>
      </c>
      <c r="D21" s="4">
        <v>1552.26615956094</v>
      </c>
      <c r="E21" s="4">
        <v>1474.6528515829</v>
      </c>
      <c r="F21" s="4">
        <v>1754.83689338365</v>
      </c>
    </row>
    <row r="22" spans="2:6">
      <c r="B22" s="7" t="s">
        <v>14</v>
      </c>
      <c r="C22" s="4">
        <v>1754.73565863411</v>
      </c>
      <c r="D22" s="4">
        <v>2017.9460074292299</v>
      </c>
      <c r="E22" s="4">
        <v>1917.0487070577699</v>
      </c>
      <c r="F22" s="4">
        <v>2281.2879613987402</v>
      </c>
    </row>
    <row r="23" spans="2:6">
      <c r="B23" s="7" t="s">
        <v>24</v>
      </c>
      <c r="C23" s="4">
        <v>2281.15635622435</v>
      </c>
      <c r="D23" s="4">
        <v>2623.3298096580002</v>
      </c>
      <c r="E23" s="4">
        <v>2492.1633191750998</v>
      </c>
      <c r="F23" s="4">
        <v>2965.67434981837</v>
      </c>
    </row>
    <row r="24" spans="2:6">
      <c r="B24" s="7" t="s">
        <v>25</v>
      </c>
      <c r="C24" s="4">
        <v>1330</v>
      </c>
      <c r="D24" s="4">
        <v>1529.5</v>
      </c>
      <c r="E24" s="4">
        <v>1453.0250000000001</v>
      </c>
      <c r="F24" s="4">
        <v>1729.0997500000001</v>
      </c>
    </row>
    <row r="25" spans="2:6">
      <c r="B25" s="7" t="s">
        <v>26</v>
      </c>
      <c r="C25" s="4">
        <v>1468.2</v>
      </c>
      <c r="D25" s="4">
        <v>1688.43</v>
      </c>
      <c r="E25" s="4">
        <v>1604.0084999999999</v>
      </c>
      <c r="F25" s="4">
        <v>1908.770115</v>
      </c>
    </row>
  </sheetData>
  <mergeCells count="1">
    <mergeCell ref="B2:F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5"/>
  <sheetViews>
    <sheetView showGridLines="0" topLeftCell="G1" workbookViewId="0">
      <selection activeCell="J8" sqref="J8"/>
    </sheetView>
  </sheetViews>
  <sheetFormatPr defaultColWidth="10.58203125" defaultRowHeight="15.5"/>
  <cols>
    <col min="2" max="2" width="15.5" customWidth="1"/>
    <col min="5" max="5" width="11.58203125" customWidth="1"/>
    <col min="6" max="6" width="11.08203125" customWidth="1"/>
    <col min="7" max="7" width="6.9140625" customWidth="1"/>
    <col min="9" max="9" width="12.4140625" customWidth="1"/>
    <col min="10" max="10" width="11.08203125" customWidth="1"/>
  </cols>
  <sheetData>
    <row r="1" spans="1:11">
      <c r="A1" t="s">
        <v>31</v>
      </c>
    </row>
    <row r="2" spans="1:11">
      <c r="B2" s="34" t="s">
        <v>53</v>
      </c>
      <c r="C2" s="34"/>
      <c r="D2" s="34"/>
      <c r="E2" s="34"/>
      <c r="F2" s="34"/>
      <c r="H2" s="34" t="s">
        <v>29</v>
      </c>
      <c r="I2" s="34"/>
      <c r="J2" s="34"/>
    </row>
    <row r="3" spans="1:11">
      <c r="B3" s="2" t="s">
        <v>55</v>
      </c>
      <c r="C3" s="3">
        <v>2019</v>
      </c>
      <c r="D3" s="3">
        <v>2020</v>
      </c>
      <c r="E3" s="3">
        <f>D3+1</f>
        <v>2021</v>
      </c>
      <c r="F3" s="3">
        <f t="shared" ref="F3" si="0">E3+1</f>
        <v>2022</v>
      </c>
      <c r="H3" s="3" t="s">
        <v>0</v>
      </c>
      <c r="I3" s="3" t="s">
        <v>54</v>
      </c>
      <c r="J3" s="3" t="s">
        <v>4</v>
      </c>
    </row>
    <row r="4" spans="1:11">
      <c r="B4" t="s">
        <v>6</v>
      </c>
      <c r="C4" s="4">
        <v>1087.2660000000001</v>
      </c>
      <c r="D4" s="4">
        <v>1250.3559</v>
      </c>
      <c r="E4" s="4">
        <v>1187.838105</v>
      </c>
      <c r="F4" s="4">
        <v>1413.52734495</v>
      </c>
      <c r="H4" s="5" t="s">
        <v>6</v>
      </c>
      <c r="I4" s="5">
        <v>2019</v>
      </c>
      <c r="J4" s="4"/>
    </row>
    <row r="5" spans="1:11">
      <c r="B5" t="s">
        <v>6</v>
      </c>
      <c r="C5" s="4">
        <v>1239.48324</v>
      </c>
      <c r="D5" s="4">
        <v>1425.405726</v>
      </c>
      <c r="E5" s="4">
        <v>1354.1354397</v>
      </c>
      <c r="F5" s="4">
        <v>1611.4211732430001</v>
      </c>
    </row>
    <row r="6" spans="1:11">
      <c r="B6" t="s">
        <v>6</v>
      </c>
      <c r="C6" s="4">
        <v>1413.0108935999999</v>
      </c>
      <c r="D6" s="4">
        <v>1624.96252764</v>
      </c>
      <c r="E6" s="4">
        <v>1543.714401258</v>
      </c>
      <c r="F6" s="4">
        <v>1837.02013749702</v>
      </c>
      <c r="H6" s="34" t="s">
        <v>56</v>
      </c>
      <c r="I6" s="34"/>
      <c r="J6" s="34"/>
    </row>
    <row r="7" spans="1:11">
      <c r="B7" t="s">
        <v>6</v>
      </c>
      <c r="C7" s="4">
        <v>1610.832418704</v>
      </c>
      <c r="D7" s="4">
        <v>1852.4572815096001</v>
      </c>
      <c r="E7" s="4">
        <v>1759.83441743412</v>
      </c>
      <c r="F7" s="4">
        <v>2094.2029567466002</v>
      </c>
      <c r="H7" s="3" t="s">
        <v>0</v>
      </c>
      <c r="I7" s="3" t="s">
        <v>54</v>
      </c>
      <c r="J7" s="3" t="s">
        <v>4</v>
      </c>
    </row>
    <row r="8" spans="1:11">
      <c r="B8" t="s">
        <v>8</v>
      </c>
      <c r="C8" s="4">
        <v>1836.34895732256</v>
      </c>
      <c r="D8" s="4">
        <v>2111.8013009209399</v>
      </c>
      <c r="E8" s="4">
        <v>2006.2112358749</v>
      </c>
      <c r="F8" s="4">
        <v>2387.3913706911299</v>
      </c>
      <c r="H8" s="5" t="s">
        <v>6</v>
      </c>
      <c r="I8" s="5">
        <v>2019</v>
      </c>
      <c r="J8" s="4"/>
      <c r="K8" s="6"/>
    </row>
    <row r="9" spans="1:11">
      <c r="B9" t="s">
        <v>11</v>
      </c>
      <c r="C9" s="4">
        <v>2093.4378113477201</v>
      </c>
      <c r="D9" s="4">
        <v>2407.4534830498701</v>
      </c>
      <c r="E9" s="4">
        <v>2287.0808088973799</v>
      </c>
      <c r="F9" s="4">
        <v>2721.6261625878801</v>
      </c>
    </row>
    <row r="10" spans="1:11">
      <c r="B10" t="s">
        <v>11</v>
      </c>
      <c r="C10" s="4">
        <v>489.2697</v>
      </c>
      <c r="D10" s="4">
        <v>562.66015500000003</v>
      </c>
      <c r="E10" s="4">
        <v>534.52714724999998</v>
      </c>
      <c r="F10" s="4">
        <v>636.0873052275</v>
      </c>
    </row>
    <row r="11" spans="1:11">
      <c r="B11" t="s">
        <v>11</v>
      </c>
      <c r="C11" s="4">
        <v>538.19667000000004</v>
      </c>
      <c r="D11" s="4">
        <v>618.92617050000001</v>
      </c>
      <c r="E11" s="4">
        <v>587.97986197499995</v>
      </c>
      <c r="F11" s="4">
        <v>699.69603575024996</v>
      </c>
    </row>
    <row r="12" spans="1:11">
      <c r="B12" t="s">
        <v>16</v>
      </c>
      <c r="C12" s="4">
        <v>592.01633700000002</v>
      </c>
      <c r="D12" s="4">
        <v>680.81878755000002</v>
      </c>
      <c r="E12" s="4">
        <v>646.77784817249994</v>
      </c>
      <c r="F12" s="4">
        <v>769.66563932527504</v>
      </c>
    </row>
    <row r="13" spans="1:11">
      <c r="B13" t="s">
        <v>17</v>
      </c>
      <c r="C13" s="4">
        <v>651.21797070000002</v>
      </c>
      <c r="D13" s="4">
        <v>748.90066630499996</v>
      </c>
      <c r="E13" s="4">
        <v>711.45563298975003</v>
      </c>
      <c r="F13" s="4">
        <v>846.63220325780196</v>
      </c>
    </row>
    <row r="14" spans="1:11">
      <c r="B14" t="s">
        <v>17</v>
      </c>
      <c r="C14" s="4">
        <v>716.33976776999998</v>
      </c>
      <c r="D14" s="4">
        <v>823.79073293550005</v>
      </c>
      <c r="E14" s="4">
        <v>782.60119628872496</v>
      </c>
      <c r="F14" s="4">
        <v>931.29542358358299</v>
      </c>
    </row>
    <row r="15" spans="1:11">
      <c r="B15" t="s">
        <v>17</v>
      </c>
      <c r="C15" s="4">
        <v>787.97374454700002</v>
      </c>
      <c r="D15" s="4">
        <v>906.16980622904998</v>
      </c>
      <c r="E15" s="4">
        <v>860.86131591759795</v>
      </c>
      <c r="F15" s="4">
        <v>1024.4249659419399</v>
      </c>
    </row>
    <row r="16" spans="1:11">
      <c r="B16" t="s">
        <v>17</v>
      </c>
      <c r="C16" s="4">
        <v>866.77111900169996</v>
      </c>
      <c r="D16" s="4">
        <v>996.78678685195496</v>
      </c>
      <c r="E16" s="4">
        <v>946.94744750935797</v>
      </c>
      <c r="F16" s="4">
        <v>1126.86746253614</v>
      </c>
    </row>
    <row r="17" spans="2:6">
      <c r="B17" t="s">
        <v>17</v>
      </c>
      <c r="C17" s="4">
        <v>953.44823090187106</v>
      </c>
      <c r="D17" s="4">
        <v>1096.4654655371501</v>
      </c>
      <c r="E17" s="4">
        <v>1041.6421922602899</v>
      </c>
      <c r="F17" s="4">
        <v>1239.55420878975</v>
      </c>
    </row>
    <row r="18" spans="2:6">
      <c r="B18" t="s">
        <v>17</v>
      </c>
      <c r="C18" s="4">
        <v>1048.7930539920601</v>
      </c>
      <c r="D18" s="4">
        <v>1206.1120120908699</v>
      </c>
      <c r="E18" s="4">
        <v>1145.80641148632</v>
      </c>
      <c r="F18" s="4">
        <v>1363.50962966872</v>
      </c>
    </row>
    <row r="19" spans="2:6">
      <c r="B19" t="s">
        <v>12</v>
      </c>
      <c r="C19" s="4">
        <v>1153.67235939126</v>
      </c>
      <c r="D19" s="4">
        <v>1326.72321329995</v>
      </c>
      <c r="E19" s="4">
        <v>1260.3870526349599</v>
      </c>
      <c r="F19" s="4">
        <v>1499.8605926355999</v>
      </c>
    </row>
    <row r="20" spans="2:6">
      <c r="B20" t="s">
        <v>12</v>
      </c>
      <c r="C20" s="4">
        <v>1038.3051234521399</v>
      </c>
      <c r="D20" s="4">
        <v>1194.05089196996</v>
      </c>
      <c r="E20" s="4">
        <v>1134.34834737146</v>
      </c>
      <c r="F20" s="4">
        <v>1349.8745333720401</v>
      </c>
    </row>
    <row r="21" spans="2:6">
      <c r="B21" t="s">
        <v>12</v>
      </c>
      <c r="C21" s="4">
        <v>1349.7966604877799</v>
      </c>
      <c r="D21" s="4">
        <v>1552.26615956094</v>
      </c>
      <c r="E21" s="4">
        <v>1474.6528515829</v>
      </c>
      <c r="F21" s="4">
        <v>1754.83689338365</v>
      </c>
    </row>
    <row r="22" spans="2:6">
      <c r="B22" t="s">
        <v>12</v>
      </c>
      <c r="C22" s="4">
        <v>1754.73565863411</v>
      </c>
      <c r="D22" s="4">
        <v>2017.9460074292299</v>
      </c>
      <c r="E22" s="4">
        <v>1917.0487070577699</v>
      </c>
      <c r="F22" s="4">
        <v>2281.2879613987402</v>
      </c>
    </row>
    <row r="23" spans="2:6">
      <c r="B23" t="s">
        <v>12</v>
      </c>
      <c r="C23" s="4">
        <v>2281.15635622435</v>
      </c>
      <c r="D23" s="4">
        <v>2623.3298096580002</v>
      </c>
      <c r="E23" s="4">
        <v>2492.1633191750998</v>
      </c>
      <c r="F23" s="4">
        <v>2965.67434981837</v>
      </c>
    </row>
    <row r="24" spans="2:6">
      <c r="B24" t="s">
        <v>12</v>
      </c>
      <c r="C24" s="4">
        <v>1330</v>
      </c>
      <c r="D24" s="4">
        <v>1529.5</v>
      </c>
      <c r="E24" s="4">
        <v>1453.0250000000001</v>
      </c>
      <c r="F24" s="4">
        <v>1729.0997500000001</v>
      </c>
    </row>
    <row r="25" spans="2:6">
      <c r="B25" t="s">
        <v>12</v>
      </c>
      <c r="C25" s="4">
        <v>1468.2</v>
      </c>
      <c r="D25" s="4">
        <v>1688.43</v>
      </c>
      <c r="E25" s="4">
        <v>1604.0084999999999</v>
      </c>
      <c r="F25" s="4">
        <v>1908.770115</v>
      </c>
    </row>
  </sheetData>
  <mergeCells count="3">
    <mergeCell ref="B2:F2"/>
    <mergeCell ref="H2:J2"/>
    <mergeCell ref="H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Vlookup</vt:lpstr>
      <vt:lpstr>Sheet1</vt:lpstr>
      <vt:lpstr>Sheet2</vt:lpstr>
      <vt:lpstr>Sheet3</vt:lpstr>
      <vt:lpstr>Hlookup</vt:lpstr>
      <vt:lpstr>Sheet4</vt:lpstr>
      <vt:lpstr>Xlookup</vt:lpstr>
      <vt:lpstr>Xlookup 2</vt:lpstr>
      <vt:lpstr>Xlookup 3</vt:lpstr>
      <vt:lpstr>Xlookup 4</vt:lpstr>
      <vt:lpstr>Xlookup 5</vt:lpstr>
      <vt:lpstr>SumFilter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Darshan R</cp:lastModifiedBy>
  <dcterms:created xsi:type="dcterms:W3CDTF">2022-08-01T09:40:00Z</dcterms:created>
  <dcterms:modified xsi:type="dcterms:W3CDTF">2026-08-05T08:21:13Z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1792D1533A424203A0126E72111304BF_13</vt:lpwstr>
  </property>
  <property fmtid="{D5CDD505-2E9C-101B-9397-08002B2CF9AE}" pid="3" name="KSOProductBuildVer">
    <vt:lpwstr>1033-12.2.0.23196</vt:lpwstr>
  </property>
</Properties>
</file>